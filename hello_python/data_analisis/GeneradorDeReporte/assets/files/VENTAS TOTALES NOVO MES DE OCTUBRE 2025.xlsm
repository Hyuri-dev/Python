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rsonal\Documents\JEFF\OCTUBRE 2025\"/>
    </mc:Choice>
  </mc:AlternateContent>
  <bookViews>
    <workbookView xWindow="-105" yWindow="-105" windowWidth="23250" windowHeight="12450" firstSheet="1" activeTab="1"/>
  </bookViews>
  <sheets>
    <sheet name="Hoja1" sheetId="1" r:id="rId1"/>
    <sheet name="Hoja2" sheetId="2" r:id="rId2"/>
  </sheets>
  <definedNames>
    <definedName name="_xlnm._FilterDatabase" localSheetId="1" hidden="1">Hoja2!$B$1:$B$99</definedName>
    <definedName name="_xlnm.Print_Area" localSheetId="1">Hoja2!$A$1:$K$37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2" l="1"/>
  <c r="I6" i="2" l="1"/>
  <c r="J6" i="2"/>
  <c r="K5" i="2" l="1"/>
  <c r="K2" i="2"/>
  <c r="K3" i="2"/>
  <c r="K4" i="2"/>
  <c r="K7" i="2"/>
  <c r="K9" i="2"/>
  <c r="K11" i="2"/>
  <c r="K12" i="2"/>
  <c r="K13" i="2"/>
  <c r="K15" i="2"/>
  <c r="K17" i="2"/>
  <c r="K19" i="2"/>
  <c r="K21" i="2"/>
  <c r="K23" i="2"/>
  <c r="K25" i="2"/>
  <c r="K27" i="2"/>
  <c r="K29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F99" i="2"/>
  <c r="J94" i="2"/>
  <c r="H94" i="2"/>
  <c r="G94" i="2"/>
  <c r="F94" i="2"/>
  <c r="E94" i="2"/>
  <c r="D94" i="2"/>
  <c r="C94" i="2"/>
  <c r="I94" i="2"/>
  <c r="J30" i="2"/>
  <c r="J28" i="2"/>
  <c r="J26" i="2"/>
  <c r="J24" i="2"/>
  <c r="J22" i="2"/>
  <c r="J20" i="2"/>
  <c r="J18" i="2"/>
  <c r="J16" i="2"/>
  <c r="J14" i="2"/>
  <c r="J10" i="2"/>
  <c r="J8" i="2"/>
  <c r="I30" i="2"/>
  <c r="I28" i="2"/>
  <c r="I26" i="2"/>
  <c r="I24" i="2"/>
  <c r="I22" i="2"/>
  <c r="I20" i="2"/>
  <c r="I18" i="2"/>
  <c r="I16" i="2"/>
  <c r="I14" i="2"/>
  <c r="I10" i="2"/>
  <c r="I8" i="2"/>
  <c r="H6" i="2" l="1"/>
  <c r="E8" i="2"/>
  <c r="D6" i="2" l="1"/>
  <c r="L6" i="2" l="1"/>
  <c r="M94" i="2"/>
  <c r="D22" i="2" l="1"/>
  <c r="D20" i="2"/>
  <c r="D18" i="2"/>
  <c r="D16" i="2"/>
  <c r="D14" i="2"/>
  <c r="D8" i="2"/>
  <c r="D30" i="2"/>
  <c r="D28" i="2"/>
  <c r="L94" i="2"/>
  <c r="K94" i="2" s="1"/>
  <c r="F97" i="2" s="1"/>
  <c r="C22" i="2"/>
  <c r="M22" i="2"/>
  <c r="H22" i="2"/>
  <c r="E22" i="2"/>
  <c r="F22" i="2"/>
  <c r="G22" i="2"/>
  <c r="L22" i="2"/>
  <c r="K22" i="2" l="1"/>
  <c r="D10" i="2"/>
  <c r="D24" i="2"/>
  <c r="D26" i="2"/>
  <c r="M30" i="2"/>
  <c r="M28" i="2"/>
  <c r="M26" i="2"/>
  <c r="M24" i="2"/>
  <c r="M20" i="2"/>
  <c r="M18" i="2"/>
  <c r="M16" i="2"/>
  <c r="M14" i="2"/>
  <c r="M10" i="2"/>
  <c r="M8" i="2"/>
  <c r="C6" i="2" l="1"/>
  <c r="C24" i="2" l="1"/>
  <c r="AA6" i="1" l="1"/>
  <c r="H15" i="1"/>
  <c r="F30" i="2"/>
  <c r="L30" i="2"/>
  <c r="H30" i="2"/>
  <c r="C30" i="2"/>
  <c r="G30" i="2"/>
  <c r="F28" i="2"/>
  <c r="H28" i="2"/>
  <c r="C28" i="2"/>
  <c r="G28" i="2"/>
  <c r="F26" i="2"/>
  <c r="L26" i="2"/>
  <c r="H26" i="2"/>
  <c r="C26" i="2"/>
  <c r="G26" i="2"/>
  <c r="F24" i="2"/>
  <c r="L24" i="2"/>
  <c r="H24" i="2"/>
  <c r="G24" i="2"/>
  <c r="F20" i="2"/>
  <c r="L20" i="2"/>
  <c r="H20" i="2"/>
  <c r="C20" i="2"/>
  <c r="G20" i="2"/>
  <c r="F18" i="2"/>
  <c r="L18" i="2"/>
  <c r="H18" i="2"/>
  <c r="C18" i="2"/>
  <c r="G18" i="2"/>
  <c r="F16" i="2"/>
  <c r="L16" i="2"/>
  <c r="H16" i="2"/>
  <c r="C16" i="2"/>
  <c r="G16" i="2"/>
  <c r="F14" i="2"/>
  <c r="L14" i="2"/>
  <c r="H14" i="2"/>
  <c r="C14" i="2"/>
  <c r="G14" i="2"/>
  <c r="F10" i="2"/>
  <c r="L10" i="2"/>
  <c r="H10" i="2"/>
  <c r="C10" i="2"/>
  <c r="G10" i="2"/>
  <c r="F8" i="2"/>
  <c r="L8" i="2"/>
  <c r="H8" i="2"/>
  <c r="C8" i="2"/>
  <c r="G8" i="2"/>
  <c r="F6" i="2"/>
  <c r="G6" i="2"/>
  <c r="K18" i="2" l="1"/>
  <c r="K8" i="2"/>
  <c r="K24" i="2"/>
  <c r="K6" i="2"/>
  <c r="K14" i="2"/>
  <c r="K26" i="2"/>
  <c r="K30" i="2"/>
  <c r="K20" i="2"/>
  <c r="K10" i="2"/>
  <c r="K16" i="2"/>
  <c r="K28" i="2"/>
  <c r="AD11" i="1"/>
  <c r="AD6" i="1"/>
  <c r="AA11" i="1"/>
  <c r="AB15" i="1"/>
  <c r="Z15" i="1"/>
  <c r="AD7" i="1"/>
  <c r="AD8" i="1"/>
  <c r="AA7" i="1"/>
  <c r="AA8" i="1"/>
  <c r="AC7" i="1"/>
  <c r="AC11" i="1"/>
  <c r="AC10" i="1"/>
  <c r="AC9" i="1"/>
  <c r="AC8" i="1"/>
  <c r="AC6" i="1"/>
  <c r="B15" i="1"/>
  <c r="AC15" i="1" l="1"/>
  <c r="AA15" i="1"/>
  <c r="Y7" i="1" l="1"/>
  <c r="Y9" i="1"/>
  <c r="Y10" i="1"/>
  <c r="W10" i="1"/>
  <c r="U10" i="1"/>
  <c r="S10" i="1"/>
  <c r="Q10" i="1"/>
  <c r="O10" i="1"/>
  <c r="I10" i="1"/>
  <c r="G10" i="1"/>
  <c r="E10" i="1"/>
  <c r="C15" i="1"/>
  <c r="Y11" i="1"/>
  <c r="W11" i="1"/>
  <c r="U11" i="1"/>
  <c r="AD9" i="1"/>
  <c r="B16" i="1" s="1"/>
  <c r="W9" i="1"/>
  <c r="U8" i="1"/>
  <c r="U9" i="1"/>
  <c r="W8" i="1"/>
  <c r="Y8" i="1"/>
  <c r="X15" i="1"/>
  <c r="V15" i="1"/>
  <c r="T15" i="1"/>
  <c r="Y6" i="1"/>
  <c r="W6" i="1"/>
  <c r="U6" i="1"/>
  <c r="U14" i="1"/>
  <c r="U13" i="1"/>
  <c r="U12" i="1"/>
  <c r="U7" i="1"/>
  <c r="Y15" i="1" l="1"/>
  <c r="W15" i="1"/>
  <c r="U15" i="1"/>
  <c r="F15" i="1"/>
  <c r="D15" i="1"/>
  <c r="E15" i="1" s="1"/>
  <c r="S11" i="1" l="1"/>
  <c r="S9" i="1"/>
  <c r="S8" i="1"/>
  <c r="S7" i="1"/>
  <c r="S6" i="1"/>
  <c r="Q11" i="1"/>
  <c r="Q9" i="1"/>
  <c r="Q8" i="1"/>
  <c r="Q7" i="1"/>
  <c r="Q6" i="1"/>
  <c r="O11" i="1"/>
  <c r="O9" i="1"/>
  <c r="O8" i="1"/>
  <c r="O7" i="1"/>
  <c r="O6" i="1"/>
  <c r="G15" i="1"/>
  <c r="G14" i="1"/>
  <c r="G13" i="1"/>
  <c r="G12" i="1"/>
  <c r="G11" i="1"/>
  <c r="G9" i="1"/>
  <c r="G8" i="1"/>
  <c r="G7" i="1"/>
  <c r="G6" i="1"/>
  <c r="I11" i="1"/>
  <c r="I9" i="1"/>
  <c r="I8" i="1"/>
  <c r="I7" i="1"/>
  <c r="I6" i="1"/>
  <c r="R15" i="1"/>
  <c r="S15" i="1" l="1"/>
  <c r="O15" i="1"/>
  <c r="Q15" i="1"/>
  <c r="M15" i="1"/>
  <c r="P15" i="1"/>
  <c r="N15" i="1"/>
  <c r="E11" i="1"/>
  <c r="E9" i="1"/>
  <c r="E8" i="1"/>
  <c r="E7" i="1"/>
  <c r="E6" i="1"/>
  <c r="AD14" i="1" l="1"/>
  <c r="AD13" i="1" l="1"/>
  <c r="AD12" i="1"/>
  <c r="I13" i="1" l="1"/>
  <c r="I12" i="1"/>
  <c r="I15" i="1" l="1"/>
  <c r="L15" i="1" l="1"/>
  <c r="J15" i="1"/>
  <c r="M6" i="2" l="1"/>
</calcChain>
</file>

<file path=xl/sharedStrings.xml><?xml version="1.0" encoding="utf-8"?>
<sst xmlns="http://schemas.openxmlformats.org/spreadsheetml/2006/main" count="213" uniqueCount="77">
  <si>
    <t>PASTAS VENECIANA</t>
  </si>
  <si>
    <t>AGUA CRYSTAL</t>
  </si>
  <si>
    <t>TE CRYSTAL 1,5 LIMON</t>
  </si>
  <si>
    <t>ACEITE PORTUMESA</t>
  </si>
  <si>
    <t>VENTAS DEL MES</t>
  </si>
  <si>
    <t xml:space="preserve">BULTOS </t>
  </si>
  <si>
    <t>KG</t>
  </si>
  <si>
    <t>ROBERT</t>
  </si>
  <si>
    <t>JULIO</t>
  </si>
  <si>
    <t>FACTURAS C</t>
  </si>
  <si>
    <t>PASTICHO LA SIRENA</t>
  </si>
  <si>
    <t>KARELYS</t>
  </si>
  <si>
    <t>FACTURAS TOTAL</t>
  </si>
  <si>
    <t>PASTAS LA PRIMAVERA</t>
  </si>
  <si>
    <t>DISTRIBUIDORA</t>
  </si>
  <si>
    <t>BULTOS</t>
  </si>
  <si>
    <t>PASTICHO MICASA</t>
  </si>
  <si>
    <t>LUIS</t>
  </si>
  <si>
    <t>VICTOR GONZALES</t>
  </si>
  <si>
    <t>TOTAL</t>
  </si>
  <si>
    <t>KENNER</t>
  </si>
  <si>
    <t>MONTO FACTURADO $</t>
  </si>
  <si>
    <t>DEVOLUCIONES</t>
  </si>
  <si>
    <t>NETO</t>
  </si>
  <si>
    <t>PRODUCTOS TOTALES</t>
  </si>
  <si>
    <t>PEDRO</t>
  </si>
  <si>
    <t xml:space="preserve">                         PASTA LINGUINI</t>
  </si>
  <si>
    <t xml:space="preserve">ARROZ TITAN </t>
  </si>
  <si>
    <t>ARROZ LA CONQUISTA</t>
  </si>
  <si>
    <t>ARROZ EL JAPONEZ</t>
  </si>
  <si>
    <t xml:space="preserve">DESCUENTO </t>
  </si>
  <si>
    <t>VICTOR FERREIRA</t>
  </si>
  <si>
    <t>VENTAS NOVIEMBRE 2024</t>
  </si>
  <si>
    <t>RAULITOS 100 GS</t>
  </si>
  <si>
    <t>RAULITOS 30 Gs</t>
  </si>
  <si>
    <t xml:space="preserve"> BULTOS</t>
  </si>
  <si>
    <t>ACEITE GIRASOL</t>
  </si>
  <si>
    <t>ARROZ TITAN 500GR</t>
  </si>
  <si>
    <t>PURE DE TOMATE PASSATA TOMATODO 12X490 GR</t>
  </si>
  <si>
    <t>SALSA NAPOLITANA 12X490 GR</t>
  </si>
  <si>
    <t>MAYONESA 24 X 175GR (E)</t>
  </si>
  <si>
    <t>VINAGRE 24 X 500 ML</t>
  </si>
  <si>
    <t>VINAGRE 4 X 3,785 L</t>
  </si>
  <si>
    <t>SALSA DE AJO 24 X 150 CC</t>
  </si>
  <si>
    <t>SALSA INGLESA 24 X 150 XX</t>
  </si>
  <si>
    <t>SALSA DE SOYA 24 X 150 CC</t>
  </si>
  <si>
    <t>TRIPACK SALSA DE INGREDIENTES 150CC X3X8</t>
  </si>
  <si>
    <t>ALCAPARRAS 12 X 500 GR</t>
  </si>
  <si>
    <t>ACEITUNAS ENTERAS 12 X 500 GR (E)</t>
  </si>
  <si>
    <t>SALSA DE AJO 4 X 3,785 L</t>
  </si>
  <si>
    <t>SALSA INGLESA 4 X 3,785 L</t>
  </si>
  <si>
    <t>SALSA DE SOYA 4 X 3,785 L</t>
  </si>
  <si>
    <t>SALSA DE TOMATE KETCHUP 24 X 397GR</t>
  </si>
  <si>
    <t>SALSA DE TOMATE KETCHUP HOT 24 X 397GR</t>
  </si>
  <si>
    <t>SALSA PARA CARNE 79 24X380 GR</t>
  </si>
  <si>
    <t>PURE DE TOMATE PASSATA TOMATODO 24X 190 GR</t>
  </si>
  <si>
    <t>SALSA NAPOLITANA 24 X 190 GR</t>
  </si>
  <si>
    <t>VINAGRE 12 X 1000ML</t>
  </si>
  <si>
    <t>ALCAPARRAS 24 X 200 GR</t>
  </si>
  <si>
    <t>ACEITUNAS RELLENAS C/ PIMENTOS 24X 200GR</t>
  </si>
  <si>
    <t>ACEITUNAS RELLENAS C/PIMENTOS 12X490 GR</t>
  </si>
  <si>
    <t>MAYONESA VIDRIO 12 X 445 GR (E)</t>
  </si>
  <si>
    <t>PROM. TOSTADA CLASICABAUDUCCO 36X142GR</t>
  </si>
  <si>
    <t>MOSTAZA PREMIUM 24 X 185GR</t>
  </si>
  <si>
    <t>SALSA BOLOGNESA 24 X 190 GR</t>
  </si>
  <si>
    <t>SALSA BOLOGNESA 12 X 490 GR</t>
  </si>
  <si>
    <t>SALSA A BASE DE TOMATES LA HACIENDA 24X380GR</t>
  </si>
  <si>
    <t>VENDIDOS A CLIENTE</t>
  </si>
  <si>
    <t>VENDIDOS A EMPLEADOS</t>
  </si>
  <si>
    <t>TOSTADAS</t>
  </si>
  <si>
    <t>IVA</t>
  </si>
  <si>
    <t>ROBERT RODRIGUEZ</t>
  </si>
  <si>
    <t>JESUS HERNANDEZ</t>
  </si>
  <si>
    <t>AZUCAR REFINO 1KG</t>
  </si>
  <si>
    <t>AZUCAR REFINO 900GR</t>
  </si>
  <si>
    <t>YOSEMITH</t>
  </si>
  <si>
    <t>VENTAS OCTUBRE NOVO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</si>
</sst>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 * #,##0.00_ ;_ * \-#,##0.00_ ;_ * &quot;-&quot;??_ ;_ @_ "/>
    <numFmt numFmtId="164" formatCode="_-* #,##0.00\ _€_-;\-* #,##0.00\ _€_-;_-* &quot;-&quot;??\ _€_-;_-@_-"/>
    <numFmt numFmtId="165" formatCode="_-* #,##0\ _€_-;\-* #,##0\ _€_-;_-* &quot;-&quot;??\ _€_-;_-@_-"/>
    <numFmt numFmtId="166" formatCode="_-* #,##0_-;\-* #,##0_-;_-* &quot;-&quot;??_-;_-@_-"/>
    <numFmt numFmtId="167" formatCode="_ * #,##0_ ;_ * \-#,##0_ ;_ * &quot;-&quot;??_ ;_ @_ 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Arial Black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89FBF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7CE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0" fillId="6" borderId="0" applyNumberFormat="0" applyBorder="0" applyAlignment="0" applyProtection="0"/>
  </cellStyleXfs>
  <cellXfs count="174">
    <xf numFmtId="0" fontId="0" fillId="0" borderId="0" xfId="0"/>
    <xf numFmtId="0" fontId="2" fillId="0" borderId="0" xfId="0" applyFont="1"/>
    <xf numFmtId="43" fontId="0" fillId="0" borderId="0" xfId="0" applyNumberFormat="1"/>
    <xf numFmtId="0" fontId="3" fillId="0" borderId="5" xfId="0" applyFont="1" applyFill="1" applyBorder="1" applyAlignment="1">
      <alignment horizontal="left"/>
    </xf>
    <xf numFmtId="165" fontId="7" fillId="0" borderId="0" xfId="0" applyNumberFormat="1" applyFont="1" applyBorder="1"/>
    <xf numFmtId="0" fontId="3" fillId="0" borderId="15" xfId="0" applyFont="1" applyFill="1" applyBorder="1" applyAlignment="1">
      <alignment horizontal="left"/>
    </xf>
    <xf numFmtId="0" fontId="3" fillId="0" borderId="3" xfId="0" applyFont="1" applyFill="1" applyBorder="1" applyAlignment="1">
      <alignment horizontal="left"/>
    </xf>
    <xf numFmtId="0" fontId="3" fillId="0" borderId="3" xfId="0" applyFont="1" applyBorder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3" fillId="0" borderId="5" xfId="0" applyFont="1" applyFill="1" applyBorder="1"/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vertical="center" wrapText="1"/>
    </xf>
    <xf numFmtId="164" fontId="7" fillId="4" borderId="3" xfId="0" applyNumberFormat="1" applyFont="1" applyFill="1" applyBorder="1" applyAlignment="1">
      <alignment vertical="center"/>
    </xf>
    <xf numFmtId="0" fontId="0" fillId="0" borderId="0" xfId="0" applyBorder="1"/>
    <xf numFmtId="0" fontId="6" fillId="0" borderId="0" xfId="0" applyFont="1" applyBorder="1" applyAlignment="1">
      <alignment horizontal="center" vertical="center"/>
    </xf>
    <xf numFmtId="0" fontId="6" fillId="0" borderId="0" xfId="0" applyFont="1" applyBorder="1"/>
    <xf numFmtId="0" fontId="6" fillId="0" borderId="0" xfId="0" applyNumberFormat="1" applyFont="1" applyBorder="1" applyAlignment="1">
      <alignment horizontal="right"/>
    </xf>
    <xf numFmtId="0" fontId="6" fillId="3" borderId="3" xfId="0" applyFont="1" applyFill="1" applyBorder="1" applyAlignment="1">
      <alignment horizontal="center" vertical="center"/>
    </xf>
    <xf numFmtId="0" fontId="6" fillId="4" borderId="3" xfId="0" applyFont="1" applyFill="1" applyBorder="1"/>
    <xf numFmtId="165" fontId="7" fillId="4" borderId="2" xfId="0" applyNumberFormat="1" applyFont="1" applyFill="1" applyBorder="1"/>
    <xf numFmtId="0" fontId="3" fillId="4" borderId="3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vertical="center"/>
    </xf>
    <xf numFmtId="164" fontId="9" fillId="0" borderId="12" xfId="0" applyNumberFormat="1" applyFont="1" applyBorder="1"/>
    <xf numFmtId="164" fontId="9" fillId="0" borderId="11" xfId="0" applyNumberFormat="1" applyFont="1" applyBorder="1"/>
    <xf numFmtId="164" fontId="9" fillId="0" borderId="6" xfId="0" applyNumberFormat="1" applyFont="1" applyBorder="1"/>
    <xf numFmtId="0" fontId="9" fillId="0" borderId="11" xfId="0" applyNumberFormat="1" applyFont="1" applyBorder="1" applyAlignment="1">
      <alignment horizontal="right"/>
    </xf>
    <xf numFmtId="165" fontId="9" fillId="0" borderId="11" xfId="0" applyNumberFormat="1" applyFont="1" applyBorder="1"/>
    <xf numFmtId="166" fontId="9" fillId="0" borderId="11" xfId="0" applyNumberFormat="1" applyFont="1" applyBorder="1" applyAlignment="1">
      <alignment horizontal="center"/>
    </xf>
    <xf numFmtId="166" fontId="9" fillId="0" borderId="11" xfId="1" applyNumberFormat="1" applyFont="1" applyBorder="1" applyAlignment="1">
      <alignment horizontal="center"/>
    </xf>
    <xf numFmtId="0" fontId="9" fillId="0" borderId="11" xfId="0" applyFont="1" applyBorder="1"/>
    <xf numFmtId="0" fontId="9" fillId="0" borderId="13" xfId="0" applyFont="1" applyBorder="1"/>
    <xf numFmtId="0" fontId="7" fillId="0" borderId="21" xfId="0" applyNumberFormat="1" applyFont="1" applyBorder="1" applyAlignment="1">
      <alignment horizontal="right"/>
    </xf>
    <xf numFmtId="164" fontId="9" fillId="0" borderId="7" xfId="0" applyNumberFormat="1" applyFont="1" applyBorder="1"/>
    <xf numFmtId="0" fontId="9" fillId="0" borderId="7" xfId="0" applyNumberFormat="1" applyFont="1" applyBorder="1" applyAlignment="1">
      <alignment horizontal="right"/>
    </xf>
    <xf numFmtId="166" fontId="9" fillId="0" borderId="7" xfId="0" applyNumberFormat="1" applyFont="1" applyBorder="1" applyAlignment="1">
      <alignment horizontal="center"/>
    </xf>
    <xf numFmtId="166" fontId="9" fillId="0" borderId="7" xfId="1" applyNumberFormat="1" applyFont="1" applyBorder="1" applyAlignment="1">
      <alignment horizontal="center"/>
    </xf>
    <xf numFmtId="0" fontId="9" fillId="0" borderId="7" xfId="0" applyFont="1" applyBorder="1"/>
    <xf numFmtId="0" fontId="9" fillId="0" borderId="10" xfId="0" applyFont="1" applyBorder="1"/>
    <xf numFmtId="0" fontId="7" fillId="0" borderId="11" xfId="0" applyNumberFormat="1" applyFont="1" applyBorder="1" applyAlignment="1">
      <alignment horizontal="right"/>
    </xf>
    <xf numFmtId="164" fontId="9" fillId="0" borderId="9" xfId="0" applyNumberFormat="1" applyFont="1" applyBorder="1"/>
    <xf numFmtId="164" fontId="9" fillId="0" borderId="16" xfId="0" applyNumberFormat="1" applyFont="1" applyBorder="1"/>
    <xf numFmtId="164" fontId="9" fillId="0" borderId="20" xfId="0" applyNumberFormat="1" applyFont="1" applyBorder="1"/>
    <xf numFmtId="0" fontId="9" fillId="0" borderId="7" xfId="0" applyFont="1" applyBorder="1" applyAlignment="1">
      <alignment horizontal="center"/>
    </xf>
    <xf numFmtId="164" fontId="7" fillId="0" borderId="9" xfId="0" applyNumberFormat="1" applyFont="1" applyBorder="1"/>
    <xf numFmtId="164" fontId="7" fillId="0" borderId="7" xfId="0" applyNumberFormat="1" applyFont="1" applyBorder="1"/>
    <xf numFmtId="165" fontId="9" fillId="0" borderId="7" xfId="0" applyNumberFormat="1" applyFont="1" applyBorder="1"/>
    <xf numFmtId="165" fontId="9" fillId="0" borderId="7" xfId="0" applyNumberFormat="1" applyFont="1" applyBorder="1" applyAlignment="1">
      <alignment horizontal="center"/>
    </xf>
    <xf numFmtId="165" fontId="7" fillId="0" borderId="10" xfId="0" applyNumberFormat="1" applyFont="1" applyBorder="1" applyAlignment="1">
      <alignment horizontal="center"/>
    </xf>
    <xf numFmtId="164" fontId="7" fillId="0" borderId="12" xfId="0" applyNumberFormat="1" applyFont="1" applyBorder="1"/>
    <xf numFmtId="164" fontId="7" fillId="0" borderId="0" xfId="0" applyNumberFormat="1" applyFont="1" applyBorder="1"/>
    <xf numFmtId="165" fontId="7" fillId="0" borderId="10" xfId="0" applyNumberFormat="1" applyFont="1" applyBorder="1" applyAlignment="1">
      <alignment vertical="center"/>
    </xf>
    <xf numFmtId="0" fontId="7" fillId="4" borderId="3" xfId="0" applyNumberFormat="1" applyFont="1" applyFill="1" applyBorder="1" applyAlignment="1">
      <alignment horizontal="right" vertical="center"/>
    </xf>
    <xf numFmtId="165" fontId="7" fillId="4" borderId="18" xfId="0" applyNumberFormat="1" applyFont="1" applyFill="1" applyBorder="1"/>
    <xf numFmtId="0" fontId="7" fillId="4" borderId="2" xfId="0" applyNumberFormat="1" applyFont="1" applyFill="1" applyBorder="1" applyAlignment="1">
      <alignment horizontal="right" vertical="center"/>
    </xf>
    <xf numFmtId="0" fontId="7" fillId="4" borderId="19" xfId="0" applyNumberFormat="1" applyFont="1" applyFill="1" applyBorder="1" applyAlignment="1">
      <alignment horizontal="right" vertical="center"/>
    </xf>
    <xf numFmtId="0" fontId="9" fillId="0" borderId="0" xfId="0" applyFont="1"/>
    <xf numFmtId="165" fontId="0" fillId="0" borderId="0" xfId="0" applyNumberFormat="1" applyBorder="1"/>
    <xf numFmtId="0" fontId="0" fillId="0" borderId="0" xfId="0" applyAlignment="1">
      <alignment horizontal="center"/>
    </xf>
    <xf numFmtId="43" fontId="7" fillId="0" borderId="11" xfId="1" applyFont="1" applyBorder="1" applyAlignment="1">
      <alignment horizontal="right"/>
    </xf>
    <xf numFmtId="43" fontId="0" fillId="0" borderId="0" xfId="1" applyFont="1" applyAlignment="1">
      <alignment horizontal="right"/>
    </xf>
    <xf numFmtId="43" fontId="9" fillId="0" borderId="11" xfId="1" applyNumberFormat="1" applyFont="1" applyBorder="1" applyAlignment="1">
      <alignment horizontal="right"/>
    </xf>
    <xf numFmtId="167" fontId="3" fillId="4" borderId="3" xfId="1" applyNumberFormat="1" applyFont="1" applyFill="1" applyBorder="1" applyAlignment="1">
      <alignment horizontal="center" vertical="center" wrapText="1"/>
    </xf>
    <xf numFmtId="167" fontId="9" fillId="0" borderId="11" xfId="1" applyNumberFormat="1" applyFont="1" applyBorder="1" applyAlignment="1">
      <alignment horizontal="right"/>
    </xf>
    <xf numFmtId="167" fontId="9" fillId="0" borderId="7" xfId="1" applyNumberFormat="1" applyFont="1" applyBorder="1" applyAlignment="1">
      <alignment horizontal="right"/>
    </xf>
    <xf numFmtId="167" fontId="9" fillId="0" borderId="0" xfId="1" applyNumberFormat="1" applyFont="1"/>
    <xf numFmtId="167" fontId="0" fillId="0" borderId="0" xfId="1" applyNumberFormat="1" applyFont="1"/>
    <xf numFmtId="167" fontId="0" fillId="0" borderId="0" xfId="1" applyNumberFormat="1" applyFont="1" applyBorder="1"/>
    <xf numFmtId="167" fontId="9" fillId="0" borderId="13" xfId="1" applyNumberFormat="1" applyFont="1" applyBorder="1" applyAlignment="1">
      <alignment horizontal="right"/>
    </xf>
    <xf numFmtId="167" fontId="9" fillId="0" borderId="10" xfId="1" applyNumberFormat="1" applyFont="1" applyBorder="1" applyAlignment="1">
      <alignment horizontal="right"/>
    </xf>
    <xf numFmtId="43" fontId="7" fillId="0" borderId="6" xfId="1" applyFont="1" applyBorder="1" applyAlignment="1">
      <alignment horizontal="right"/>
    </xf>
    <xf numFmtId="43" fontId="7" fillId="0" borderId="7" xfId="1" applyFont="1" applyBorder="1" applyAlignment="1">
      <alignment horizontal="right"/>
    </xf>
    <xf numFmtId="0" fontId="6" fillId="0" borderId="0" xfId="0" applyFont="1"/>
    <xf numFmtId="43" fontId="6" fillId="0" borderId="0" xfId="0" applyNumberFormat="1" applyFont="1"/>
    <xf numFmtId="0" fontId="6" fillId="0" borderId="0" xfId="0" applyFont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left" vertical="center" wrapText="1"/>
    </xf>
    <xf numFmtId="43" fontId="3" fillId="0" borderId="3" xfId="1" applyFont="1" applyFill="1" applyBorder="1" applyAlignment="1">
      <alignment horizontal="center"/>
    </xf>
    <xf numFmtId="43" fontId="3" fillId="0" borderId="3" xfId="1" applyFont="1" applyBorder="1" applyAlignment="1">
      <alignment horizontal="center"/>
    </xf>
    <xf numFmtId="0" fontId="6" fillId="4" borderId="3" xfId="0" applyFont="1" applyFill="1" applyBorder="1" applyAlignment="1">
      <alignment horizontal="right"/>
    </xf>
    <xf numFmtId="0" fontId="6" fillId="3" borderId="22" xfId="0" applyFont="1" applyFill="1" applyBorder="1" applyAlignment="1">
      <alignment horizontal="left" vertical="center" wrapText="1"/>
    </xf>
    <xf numFmtId="0" fontId="6" fillId="0" borderId="7" xfId="0" applyFont="1" applyBorder="1"/>
    <xf numFmtId="2" fontId="7" fillId="0" borderId="0" xfId="0" applyNumberFormat="1" applyFont="1" applyBorder="1"/>
    <xf numFmtId="43" fontId="6" fillId="4" borderId="7" xfId="1" applyFont="1" applyFill="1" applyBorder="1" applyAlignment="1">
      <alignment horizontal="right"/>
    </xf>
    <xf numFmtId="43" fontId="0" fillId="4" borderId="7" xfId="1" applyFont="1" applyFill="1" applyBorder="1" applyAlignment="1">
      <alignment horizontal="right"/>
    </xf>
    <xf numFmtId="0" fontId="6" fillId="4" borderId="1" xfId="0" applyFont="1" applyFill="1" applyBorder="1" applyAlignment="1">
      <alignment horizontal="right" vertical="center"/>
    </xf>
    <xf numFmtId="167" fontId="7" fillId="0" borderId="7" xfId="0" applyNumberFormat="1" applyFont="1" applyBorder="1"/>
    <xf numFmtId="167" fontId="9" fillId="0" borderId="26" xfId="1" applyNumberFormat="1" applyFont="1" applyBorder="1" applyAlignment="1">
      <alignment horizontal="right"/>
    </xf>
    <xf numFmtId="167" fontId="3" fillId="4" borderId="1" xfId="1" applyNumberFormat="1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/>
    </xf>
    <xf numFmtId="43" fontId="0" fillId="0" borderId="7" xfId="1" applyFont="1" applyBorder="1" applyAlignment="1">
      <alignment horizontal="right"/>
    </xf>
    <xf numFmtId="0" fontId="0" fillId="0" borderId="7" xfId="0" applyBorder="1"/>
    <xf numFmtId="43" fontId="0" fillId="0" borderId="28" xfId="1" applyFont="1" applyBorder="1" applyAlignment="1">
      <alignment horizontal="right"/>
    </xf>
    <xf numFmtId="43" fontId="0" fillId="0" borderId="29" xfId="1" applyFont="1" applyBorder="1" applyAlignment="1">
      <alignment horizontal="right"/>
    </xf>
    <xf numFmtId="43" fontId="0" fillId="0" borderId="30" xfId="1" applyFont="1" applyBorder="1" applyAlignment="1">
      <alignment horizontal="right"/>
    </xf>
    <xf numFmtId="43" fontId="0" fillId="0" borderId="31" xfId="1" applyFont="1" applyBorder="1" applyAlignment="1">
      <alignment horizontal="right"/>
    </xf>
    <xf numFmtId="43" fontId="9" fillId="0" borderId="7" xfId="1" applyNumberFormat="1" applyFont="1" applyBorder="1" applyAlignment="1">
      <alignment horizontal="right"/>
    </xf>
    <xf numFmtId="0" fontId="0" fillId="0" borderId="7" xfId="1" applyNumberFormat="1" applyFont="1" applyBorder="1" applyAlignment="1">
      <alignment horizontal="right"/>
    </xf>
    <xf numFmtId="0" fontId="0" fillId="0" borderId="31" xfId="1" applyNumberFormat="1" applyFont="1" applyBorder="1" applyAlignment="1">
      <alignment horizontal="right"/>
    </xf>
    <xf numFmtId="167" fontId="9" fillId="0" borderId="11" xfId="1" applyNumberFormat="1" applyFont="1" applyFill="1" applyBorder="1" applyAlignment="1">
      <alignment horizontal="right"/>
    </xf>
    <xf numFmtId="43" fontId="6" fillId="0" borderId="3" xfId="2" applyNumberFormat="1" applyFont="1" applyFill="1" applyBorder="1" applyAlignment="1">
      <alignment horizontal="center"/>
    </xf>
    <xf numFmtId="43" fontId="7" fillId="0" borderId="10" xfId="1" applyFont="1" applyBorder="1" applyAlignment="1">
      <alignment horizontal="right"/>
    </xf>
    <xf numFmtId="43" fontId="9" fillId="0" borderId="13" xfId="1" applyNumberFormat="1" applyFont="1" applyBorder="1" applyAlignment="1">
      <alignment horizontal="right"/>
    </xf>
    <xf numFmtId="43" fontId="9" fillId="0" borderId="10" xfId="1" applyNumberFormat="1" applyFont="1" applyBorder="1" applyAlignment="1">
      <alignment horizontal="right"/>
    </xf>
    <xf numFmtId="43" fontId="0" fillId="0" borderId="10" xfId="1" applyFont="1" applyBorder="1" applyAlignment="1">
      <alignment horizontal="right"/>
    </xf>
    <xf numFmtId="43" fontId="0" fillId="0" borderId="32" xfId="1" applyFont="1" applyBorder="1" applyAlignment="1">
      <alignment horizontal="right"/>
    </xf>
    <xf numFmtId="43" fontId="7" fillId="0" borderId="33" xfId="1" applyFont="1" applyBorder="1" applyAlignment="1">
      <alignment horizontal="right"/>
    </xf>
    <xf numFmtId="167" fontId="9" fillId="0" borderId="33" xfId="1" applyNumberFormat="1" applyFont="1" applyBorder="1" applyAlignment="1">
      <alignment horizontal="right"/>
    </xf>
    <xf numFmtId="167" fontId="9" fillId="0" borderId="34" xfId="1" applyNumberFormat="1" applyFont="1" applyBorder="1" applyAlignment="1">
      <alignment horizontal="right"/>
    </xf>
    <xf numFmtId="167" fontId="9" fillId="0" borderId="9" xfId="1" applyNumberFormat="1" applyFont="1" applyBorder="1" applyAlignment="1">
      <alignment horizontal="right"/>
    </xf>
    <xf numFmtId="43" fontId="9" fillId="0" borderId="34" xfId="1" applyNumberFormat="1" applyFont="1" applyBorder="1" applyAlignment="1">
      <alignment horizontal="right"/>
    </xf>
    <xf numFmtId="43" fontId="9" fillId="0" borderId="33" xfId="1" applyNumberFormat="1" applyFont="1" applyBorder="1" applyAlignment="1">
      <alignment horizontal="right"/>
    </xf>
    <xf numFmtId="43" fontId="0" fillId="0" borderId="33" xfId="1" applyFont="1" applyBorder="1" applyAlignment="1">
      <alignment horizontal="right"/>
    </xf>
    <xf numFmtId="43" fontId="0" fillId="0" borderId="35" xfId="1" applyFont="1" applyBorder="1" applyAlignment="1">
      <alignment horizontal="right"/>
    </xf>
    <xf numFmtId="0" fontId="3" fillId="5" borderId="27" xfId="0" applyFont="1" applyFill="1" applyBorder="1" applyAlignment="1">
      <alignment horizontal="center" vertical="center"/>
    </xf>
    <xf numFmtId="0" fontId="0" fillId="0" borderId="33" xfId="0" applyBorder="1"/>
    <xf numFmtId="167" fontId="0" fillId="0" borderId="7" xfId="0" applyNumberFormat="1" applyBorder="1"/>
    <xf numFmtId="167" fontId="9" fillId="0" borderId="34" xfId="1" applyNumberFormat="1" applyFont="1" applyFill="1" applyBorder="1" applyAlignment="1">
      <alignment horizontal="right"/>
    </xf>
    <xf numFmtId="0" fontId="7" fillId="0" borderId="0" xfId="0" applyFont="1"/>
    <xf numFmtId="0" fontId="6" fillId="3" borderId="15" xfId="0" applyFont="1" applyFill="1" applyBorder="1" applyAlignment="1" applyProtection="1">
      <alignment horizontal="left" vertical="center"/>
      <protection locked="0"/>
    </xf>
    <xf numFmtId="43" fontId="0" fillId="0" borderId="36" xfId="1" applyFont="1" applyBorder="1" applyAlignment="1">
      <alignment horizontal="right"/>
    </xf>
    <xf numFmtId="43" fontId="0" fillId="0" borderId="37" xfId="1" applyFont="1" applyBorder="1" applyAlignment="1">
      <alignment horizontal="right"/>
    </xf>
    <xf numFmtId="0" fontId="0" fillId="0" borderId="36" xfId="1" applyNumberFormat="1" applyFont="1" applyBorder="1" applyAlignment="1">
      <alignment horizontal="right"/>
    </xf>
    <xf numFmtId="43" fontId="0" fillId="0" borderId="38" xfId="1" applyFont="1" applyBorder="1" applyAlignment="1">
      <alignment horizontal="right"/>
    </xf>
    <xf numFmtId="2" fontId="7" fillId="4" borderId="23" xfId="0" applyNumberFormat="1" applyFont="1" applyFill="1" applyBorder="1" applyAlignment="1">
      <alignment horizontal="right"/>
    </xf>
    <xf numFmtId="43" fontId="7" fillId="0" borderId="13" xfId="1" applyFont="1" applyBorder="1" applyAlignment="1">
      <alignment horizontal="right"/>
    </xf>
    <xf numFmtId="0" fontId="0" fillId="0" borderId="0" xfId="0" applyAlignment="1">
      <alignment horizontal="center" wrapText="1"/>
    </xf>
    <xf numFmtId="43" fontId="6" fillId="0" borderId="3" xfId="2" applyNumberFormat="1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3" fontId="0" fillId="0" borderId="0" xfId="1" applyFont="1" applyAlignment="1">
      <alignment horizontal="center" vertical="center"/>
    </xf>
    <xf numFmtId="43" fontId="7" fillId="0" borderId="7" xfId="0" applyNumberFormat="1" applyFont="1" applyBorder="1"/>
    <xf numFmtId="0" fontId="7" fillId="0" borderId="7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7" fillId="0" borderId="11" xfId="0" applyFont="1" applyBorder="1" applyProtection="1">
      <protection locked="0"/>
    </xf>
    <xf numFmtId="43" fontId="7" fillId="5" borderId="2" xfId="1" applyFont="1" applyFill="1" applyBorder="1" applyAlignment="1">
      <alignment horizontal="center" vertical="center"/>
    </xf>
    <xf numFmtId="2" fontId="7" fillId="0" borderId="33" xfId="0" applyNumberFormat="1" applyFont="1" applyBorder="1"/>
    <xf numFmtId="43" fontId="6" fillId="0" borderId="4" xfId="2" applyNumberFormat="1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6" fillId="3" borderId="3" xfId="0" applyFont="1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6" fillId="3" borderId="4" xfId="0" applyFont="1" applyFill="1" applyBorder="1" applyAlignment="1" applyProtection="1">
      <alignment horizontal="left" vertical="center"/>
      <protection locked="0"/>
    </xf>
    <xf numFmtId="0" fontId="6" fillId="3" borderId="25" xfId="0" applyFont="1" applyFill="1" applyBorder="1" applyAlignment="1" applyProtection="1">
      <alignment horizontal="left" vertical="center"/>
      <protection locked="0"/>
    </xf>
    <xf numFmtId="0" fontId="6" fillId="3" borderId="1" xfId="0" applyFont="1" applyFill="1" applyBorder="1" applyAlignment="1">
      <alignment horizontal="left" vertical="center"/>
    </xf>
    <xf numFmtId="0" fontId="6" fillId="3" borderId="23" xfId="0" applyFont="1" applyFill="1" applyBorder="1" applyAlignment="1">
      <alignment vertical="center"/>
    </xf>
    <xf numFmtId="0" fontId="6" fillId="3" borderId="24" xfId="0" applyFont="1" applyFill="1" applyBorder="1" applyAlignment="1">
      <alignment vertical="center"/>
    </xf>
    <xf numFmtId="0" fontId="6" fillId="3" borderId="23" xfId="0" applyFont="1" applyFill="1" applyBorder="1" applyAlignment="1">
      <alignment horizontal="left" vertical="center"/>
    </xf>
    <xf numFmtId="0" fontId="6" fillId="3" borderId="24" xfId="0" applyFont="1" applyFill="1" applyBorder="1" applyAlignment="1">
      <alignment horizontal="left" vertical="center"/>
    </xf>
    <xf numFmtId="0" fontId="6" fillId="3" borderId="36" xfId="0" applyFont="1" applyFill="1" applyBorder="1" applyAlignment="1" applyProtection="1">
      <alignment horizontal="left" vertical="center"/>
      <protection locked="0"/>
    </xf>
    <xf numFmtId="0" fontId="6" fillId="3" borderId="11" xfId="0" applyFont="1" applyFill="1" applyBorder="1" applyAlignment="1" applyProtection="1">
      <alignment horizontal="left" vertical="center"/>
      <protection locked="0"/>
    </xf>
    <xf numFmtId="0" fontId="6" fillId="3" borderId="7" xfId="0" applyFont="1" applyFill="1" applyBorder="1" applyAlignment="1" applyProtection="1">
      <alignment horizontal="left" vertical="center"/>
      <protection locked="0"/>
    </xf>
    <xf numFmtId="0" fontId="6" fillId="0" borderId="0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6" fillId="3" borderId="2" xfId="0" applyFont="1" applyFill="1" applyBorder="1" applyAlignment="1">
      <alignment horizontal="left" vertical="center"/>
    </xf>
  </cellXfs>
  <cellStyles count="3">
    <cellStyle name="Incorrecto" xfId="2" builtinId="27"/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89FBF8"/>
      <color rgb="FFCBBD0D"/>
      <color rgb="FFAFDCE5"/>
      <color rgb="FFACCAFA"/>
      <color rgb="FFA9B3FD"/>
      <color rgb="FFAEB7F8"/>
      <color rgb="FF4F82E7"/>
      <color rgb="FF61A9D5"/>
      <color rgb="FF8469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942976</xdr:colOff>
      <xdr:row>0</xdr:row>
      <xdr:rowOff>57151</xdr:rowOff>
    </xdr:from>
    <xdr:to>
      <xdr:col>1</xdr:col>
      <xdr:colOff>533400</xdr:colOff>
      <xdr:row>1</xdr:row>
      <xdr:rowOff>247078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976" y="57151"/>
          <a:ext cx="923924" cy="428052"/>
        </a:xfrm>
        <a:prstGeom prst="rect">
          <a:avLst/>
        </a:prstGeom>
      </xdr:spPr>
    </xdr:pic>
    <xdr:clientData/>
  </xdr:twoCellAnchor>
  <xdr:oneCellAnchor>
    <xdr:from>
      <xdr:col>0</xdr:col>
      <xdr:colOff>942976</xdr:colOff>
      <xdr:row>0</xdr:row>
      <xdr:rowOff>57151</xdr:rowOff>
    </xdr:from>
    <xdr:ext cx="923924" cy="428052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976" y="57151"/>
          <a:ext cx="923924" cy="42805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815340</xdr:colOff>
      <xdr:row>0</xdr:row>
      <xdr:rowOff>104776</xdr:rowOff>
    </xdr:from>
    <xdr:ext cx="1232536" cy="571032"/>
    <xdr:pic>
      <xdr:nvPicPr>
        <xdr:cNvPr id="2" name="Imagen 1">
          <a:extLst>
            <a:ext uri="{FF2B5EF4-FFF2-40B4-BE49-F238E27FC236}">
              <a16:creationId xmlns:a16="http://schemas.microsoft.com/office/drawing/2014/main" id="{6503C46B-BA6C-4497-A1DD-D11315817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340" y="104776"/>
          <a:ext cx="1232536" cy="57103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4</xdr:row>
          <xdr:rowOff>200025</xdr:rowOff>
        </xdr:from>
        <xdr:to>
          <xdr:col>15</xdr:col>
          <xdr:colOff>180975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casillas de bultos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428625</xdr:colOff>
          <xdr:row>2</xdr:row>
          <xdr:rowOff>200025</xdr:rowOff>
        </xdr:from>
        <xdr:to>
          <xdr:col>15</xdr:col>
          <xdr:colOff>619125</xdr:colOff>
          <xdr:row>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montos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E25"/>
  <sheetViews>
    <sheetView workbookViewId="0">
      <selection activeCell="AA6" sqref="AA6"/>
    </sheetView>
  </sheetViews>
  <sheetFormatPr baseColWidth="10" defaultRowHeight="15" x14ac:dyDescent="0.25"/>
  <cols>
    <col min="1" max="1" width="20" customWidth="1"/>
    <col min="2" max="5" width="20.7109375" customWidth="1"/>
    <col min="10" max="10" width="0" hidden="1" customWidth="1"/>
    <col min="11" max="11" width="6.7109375" hidden="1" customWidth="1"/>
    <col min="12" max="12" width="0" hidden="1" customWidth="1"/>
    <col min="13" max="13" width="14" customWidth="1"/>
    <col min="27" max="27" width="12.7109375" bestFit="1" customWidth="1"/>
  </cols>
  <sheetData>
    <row r="1" spans="1:31" ht="18.75" customHeight="1" x14ac:dyDescent="0.25">
      <c r="A1" s="8"/>
      <c r="B1" s="8"/>
      <c r="C1" s="8"/>
      <c r="D1" s="8"/>
      <c r="E1" s="8"/>
      <c r="F1" s="8"/>
      <c r="G1" s="8"/>
      <c r="AE1" s="20"/>
    </row>
    <row r="2" spans="1:31" ht="27.75" customHeight="1" x14ac:dyDescent="0.25">
      <c r="A2" s="8"/>
      <c r="B2" s="8"/>
      <c r="C2" s="8"/>
      <c r="D2" s="8"/>
      <c r="E2" s="8"/>
      <c r="F2" s="8"/>
      <c r="G2" s="8"/>
      <c r="AE2" s="20"/>
    </row>
    <row r="3" spans="1:31" ht="47.25" thickBot="1" x14ac:dyDescent="0.75">
      <c r="A3" s="9" t="s">
        <v>9</v>
      </c>
      <c r="B3" s="9"/>
      <c r="C3" s="9"/>
      <c r="D3" s="9"/>
      <c r="E3" s="9"/>
      <c r="F3" s="154" t="s">
        <v>32</v>
      </c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20"/>
    </row>
    <row r="4" spans="1:31" ht="30.75" thickBot="1" x14ac:dyDescent="0.3">
      <c r="A4" s="1"/>
      <c r="B4" s="1"/>
      <c r="C4" s="1"/>
      <c r="D4" s="1"/>
      <c r="E4" s="1"/>
      <c r="F4" s="151" t="s">
        <v>0</v>
      </c>
      <c r="G4" s="152"/>
      <c r="H4" s="151" t="s">
        <v>13</v>
      </c>
      <c r="I4" s="152"/>
      <c r="J4" s="11" t="s">
        <v>1</v>
      </c>
      <c r="K4" s="12"/>
      <c r="L4" s="13" t="s">
        <v>2</v>
      </c>
      <c r="M4" s="14" t="s">
        <v>3</v>
      </c>
      <c r="N4" s="151" t="s">
        <v>10</v>
      </c>
      <c r="O4" s="152"/>
      <c r="P4" s="151" t="s">
        <v>16</v>
      </c>
      <c r="Q4" s="152"/>
      <c r="R4" s="15" t="s">
        <v>26</v>
      </c>
      <c r="S4" s="16"/>
      <c r="T4" s="151" t="s">
        <v>27</v>
      </c>
      <c r="U4" s="152"/>
      <c r="V4" s="151" t="s">
        <v>28</v>
      </c>
      <c r="W4" s="152"/>
      <c r="X4" s="151" t="s">
        <v>29</v>
      </c>
      <c r="Y4" s="152"/>
      <c r="Z4" s="151" t="s">
        <v>34</v>
      </c>
      <c r="AA4" s="152"/>
      <c r="AB4" s="151" t="s">
        <v>33</v>
      </c>
      <c r="AC4" s="152"/>
      <c r="AD4" s="24" t="s">
        <v>19</v>
      </c>
      <c r="AE4" s="21"/>
    </row>
    <row r="5" spans="1:31" ht="15.75" thickBot="1" x14ac:dyDescent="0.3">
      <c r="A5" s="17" t="s">
        <v>4</v>
      </c>
      <c r="B5" s="17" t="s">
        <v>21</v>
      </c>
      <c r="C5" s="17" t="s">
        <v>30</v>
      </c>
      <c r="D5" s="17" t="s">
        <v>22</v>
      </c>
      <c r="E5" s="17" t="s">
        <v>23</v>
      </c>
      <c r="F5" s="27" t="s">
        <v>5</v>
      </c>
      <c r="G5" s="28" t="s">
        <v>6</v>
      </c>
      <c r="H5" s="27" t="s">
        <v>5</v>
      </c>
      <c r="I5" s="28" t="s">
        <v>6</v>
      </c>
      <c r="J5" s="29"/>
      <c r="K5" s="29"/>
      <c r="L5" s="30"/>
      <c r="M5" s="31" t="s">
        <v>15</v>
      </c>
      <c r="N5" s="27" t="s">
        <v>5</v>
      </c>
      <c r="O5" s="28" t="s">
        <v>6</v>
      </c>
      <c r="P5" s="27" t="s">
        <v>5</v>
      </c>
      <c r="Q5" s="32" t="s">
        <v>6</v>
      </c>
      <c r="R5" s="32" t="s">
        <v>15</v>
      </c>
      <c r="S5" s="32" t="s">
        <v>6</v>
      </c>
      <c r="T5" s="32" t="s">
        <v>15</v>
      </c>
      <c r="U5" s="32" t="s">
        <v>6</v>
      </c>
      <c r="V5" s="32" t="s">
        <v>15</v>
      </c>
      <c r="W5" s="32" t="s">
        <v>6</v>
      </c>
      <c r="X5" s="32" t="s">
        <v>15</v>
      </c>
      <c r="Y5" s="32" t="s">
        <v>6</v>
      </c>
      <c r="Z5" s="32" t="s">
        <v>15</v>
      </c>
      <c r="AA5" s="32" t="s">
        <v>6</v>
      </c>
      <c r="AB5" s="32" t="s">
        <v>5</v>
      </c>
      <c r="AC5" s="32" t="s">
        <v>6</v>
      </c>
      <c r="AD5" s="33"/>
      <c r="AE5" s="22"/>
    </row>
    <row r="6" spans="1:31" ht="16.5" thickBot="1" x14ac:dyDescent="0.3">
      <c r="A6" s="6" t="s">
        <v>25</v>
      </c>
      <c r="B6" s="34">
        <v>142430.76</v>
      </c>
      <c r="C6" s="35">
        <v>-17.489999999999998</v>
      </c>
      <c r="D6" s="35">
        <v>-241.82</v>
      </c>
      <c r="E6" s="36">
        <f t="shared" ref="E6:E11" si="0">SUM(B6:D6)</f>
        <v>142171.45000000001</v>
      </c>
      <c r="F6" s="37">
        <v>7571</v>
      </c>
      <c r="G6" s="38">
        <f>F6*12</f>
        <v>90852</v>
      </c>
      <c r="H6" s="37">
        <v>137</v>
      </c>
      <c r="I6" s="38">
        <f>SUM(H6)*12</f>
        <v>1644</v>
      </c>
      <c r="J6" s="39"/>
      <c r="K6" s="39"/>
      <c r="L6" s="40"/>
      <c r="M6" s="41">
        <v>1589</v>
      </c>
      <c r="N6" s="41">
        <v>4</v>
      </c>
      <c r="O6" s="41">
        <f>N6*0.25</f>
        <v>1</v>
      </c>
      <c r="P6" s="41">
        <v>2</v>
      </c>
      <c r="Q6" s="41">
        <f t="shared" ref="Q6:Q11" si="1">P6*0.25</f>
        <v>0.5</v>
      </c>
      <c r="R6" s="42">
        <v>0</v>
      </c>
      <c r="S6" s="37">
        <f t="shared" ref="S6:S11" si="2">R6*12</f>
        <v>0</v>
      </c>
      <c r="T6" s="37">
        <v>32</v>
      </c>
      <c r="U6" s="37">
        <f>SUM(T6)*21</f>
        <v>672</v>
      </c>
      <c r="V6" s="37">
        <v>20</v>
      </c>
      <c r="W6" s="37">
        <f>SUM(V6)*21</f>
        <v>420</v>
      </c>
      <c r="X6" s="37">
        <v>12</v>
      </c>
      <c r="Y6" s="37">
        <f t="shared" ref="Y6:Y11" si="3">X6*24</f>
        <v>288</v>
      </c>
      <c r="Z6" s="37">
        <v>4</v>
      </c>
      <c r="AA6" s="37">
        <f>Z6*0.36</f>
        <v>1.44</v>
      </c>
      <c r="AB6" s="37">
        <v>4</v>
      </c>
      <c r="AC6" s="37">
        <f t="shared" ref="AC6:AC11" si="4">AB6*0.36</f>
        <v>1.44</v>
      </c>
      <c r="AD6" s="43">
        <f>SUM(F6+H6+M6+N6+P6+R6+T6+V6+X6+X8+Z6+AB6)</f>
        <v>9377</v>
      </c>
      <c r="AE6" s="22"/>
    </row>
    <row r="7" spans="1:31" ht="16.5" thickBot="1" x14ac:dyDescent="0.3">
      <c r="A7" s="6" t="s">
        <v>14</v>
      </c>
      <c r="B7" s="34">
        <v>1108.5899999999999</v>
      </c>
      <c r="C7" s="44">
        <v>0</v>
      </c>
      <c r="D7" s="44">
        <v>0</v>
      </c>
      <c r="E7" s="36">
        <f t="shared" si="0"/>
        <v>1108.5899999999999</v>
      </c>
      <c r="F7" s="45">
        <v>32</v>
      </c>
      <c r="G7" s="38">
        <f t="shared" ref="G7:G15" si="5">F7*12</f>
        <v>384</v>
      </c>
      <c r="H7" s="45">
        <v>30</v>
      </c>
      <c r="I7" s="38">
        <f t="shared" ref="I7:I11" si="6">SUM(H7)*12</f>
        <v>360</v>
      </c>
      <c r="J7" s="46"/>
      <c r="K7" s="46"/>
      <c r="L7" s="47"/>
      <c r="M7" s="48">
        <v>8</v>
      </c>
      <c r="N7" s="48">
        <v>1</v>
      </c>
      <c r="O7" s="41">
        <f t="shared" ref="O7:O11" si="7">N7*0.25</f>
        <v>0.25</v>
      </c>
      <c r="P7" s="48">
        <v>0</v>
      </c>
      <c r="Q7" s="41">
        <f t="shared" si="1"/>
        <v>0</v>
      </c>
      <c r="R7" s="49">
        <v>0</v>
      </c>
      <c r="S7" s="37">
        <f t="shared" si="2"/>
        <v>0</v>
      </c>
      <c r="T7" s="37">
        <v>0</v>
      </c>
      <c r="U7" s="37">
        <f t="shared" ref="U7:U14" si="8">SUM(T7)*21.6</f>
        <v>0</v>
      </c>
      <c r="V7" s="37">
        <v>0</v>
      </c>
      <c r="W7" s="37">
        <v>0</v>
      </c>
      <c r="X7" s="37">
        <v>0</v>
      </c>
      <c r="Y7" s="37">
        <f t="shared" si="3"/>
        <v>0</v>
      </c>
      <c r="Z7" s="37">
        <v>12</v>
      </c>
      <c r="AA7" s="37">
        <f>Z7*0.36</f>
        <v>4.32</v>
      </c>
      <c r="AB7" s="37">
        <v>7</v>
      </c>
      <c r="AC7" s="37">
        <f t="shared" si="4"/>
        <v>2.52</v>
      </c>
      <c r="AD7" s="50">
        <f>SUM(F7+H7+M7+N7+P7+R7+T7+V7+X7+X9+AB7)</f>
        <v>78</v>
      </c>
      <c r="AE7" s="22"/>
    </row>
    <row r="8" spans="1:31" ht="16.5" thickBot="1" x14ac:dyDescent="0.3">
      <c r="A8" s="6" t="s">
        <v>11</v>
      </c>
      <c r="B8" s="51">
        <v>26863.75</v>
      </c>
      <c r="C8" s="44">
        <v>0</v>
      </c>
      <c r="D8" s="44">
        <v>-28.14</v>
      </c>
      <c r="E8" s="44">
        <f t="shared" si="0"/>
        <v>26835.61</v>
      </c>
      <c r="F8" s="45">
        <v>812</v>
      </c>
      <c r="G8" s="38">
        <f t="shared" si="5"/>
        <v>9744</v>
      </c>
      <c r="H8" s="45">
        <v>86</v>
      </c>
      <c r="I8" s="38">
        <f t="shared" si="6"/>
        <v>1032</v>
      </c>
      <c r="J8" s="46"/>
      <c r="K8" s="46"/>
      <c r="L8" s="47"/>
      <c r="M8" s="48">
        <v>510</v>
      </c>
      <c r="N8" s="48">
        <v>8</v>
      </c>
      <c r="O8" s="41">
        <f t="shared" si="7"/>
        <v>2</v>
      </c>
      <c r="P8" s="48">
        <v>31</v>
      </c>
      <c r="Q8" s="41">
        <f t="shared" si="1"/>
        <v>7.75</v>
      </c>
      <c r="R8" s="49">
        <v>0</v>
      </c>
      <c r="S8" s="37">
        <f t="shared" si="2"/>
        <v>0</v>
      </c>
      <c r="T8" s="37">
        <v>15</v>
      </c>
      <c r="U8" s="37">
        <f>SUM(T8)*21</f>
        <v>315</v>
      </c>
      <c r="V8" s="37">
        <v>70</v>
      </c>
      <c r="W8" s="37">
        <f>SUM(V8)*21</f>
        <v>1470</v>
      </c>
      <c r="X8" s="37">
        <v>2</v>
      </c>
      <c r="Y8" s="37">
        <f t="shared" si="3"/>
        <v>48</v>
      </c>
      <c r="Z8" s="37">
        <v>11</v>
      </c>
      <c r="AA8" s="37">
        <f>Z8*0.36</f>
        <v>3.96</v>
      </c>
      <c r="AB8" s="37">
        <v>0</v>
      </c>
      <c r="AC8" s="37">
        <f t="shared" si="4"/>
        <v>0</v>
      </c>
      <c r="AD8" s="50">
        <f>X8+V8+T8+R8+P8+N8+M8+H8+F8+Z8+AB8</f>
        <v>1545</v>
      </c>
      <c r="AE8" s="22"/>
    </row>
    <row r="9" spans="1:31" ht="16.5" thickBot="1" x14ac:dyDescent="0.3">
      <c r="A9" s="6" t="s">
        <v>18</v>
      </c>
      <c r="B9" s="52">
        <v>46938.59</v>
      </c>
      <c r="C9" s="44">
        <v>0</v>
      </c>
      <c r="D9" s="44">
        <v>-60.01</v>
      </c>
      <c r="E9" s="44">
        <f t="shared" si="0"/>
        <v>46878.579999999994</v>
      </c>
      <c r="F9" s="45">
        <v>1616</v>
      </c>
      <c r="G9" s="38">
        <f t="shared" si="5"/>
        <v>19392</v>
      </c>
      <c r="H9" s="45">
        <v>33</v>
      </c>
      <c r="I9" s="38">
        <f t="shared" si="6"/>
        <v>396</v>
      </c>
      <c r="J9" s="46"/>
      <c r="K9" s="46"/>
      <c r="L9" s="47"/>
      <c r="M9" s="48">
        <v>840</v>
      </c>
      <c r="N9" s="48">
        <v>60</v>
      </c>
      <c r="O9" s="41">
        <f t="shared" si="7"/>
        <v>15</v>
      </c>
      <c r="P9" s="48">
        <v>35</v>
      </c>
      <c r="Q9" s="41">
        <f t="shared" si="1"/>
        <v>8.75</v>
      </c>
      <c r="R9" s="49">
        <v>0</v>
      </c>
      <c r="S9" s="37">
        <f t="shared" si="2"/>
        <v>0</v>
      </c>
      <c r="T9" s="37">
        <v>98</v>
      </c>
      <c r="U9" s="37">
        <f>SUM(T9)*21</f>
        <v>2058</v>
      </c>
      <c r="V9" s="37">
        <v>30</v>
      </c>
      <c r="W9" s="37">
        <f>SUM(V9)*21</f>
        <v>630</v>
      </c>
      <c r="X9" s="37">
        <v>0</v>
      </c>
      <c r="Y9" s="37">
        <f t="shared" si="3"/>
        <v>0</v>
      </c>
      <c r="Z9" s="37">
        <v>0</v>
      </c>
      <c r="AA9" s="37">
        <v>0</v>
      </c>
      <c r="AB9" s="37">
        <v>0</v>
      </c>
      <c r="AC9" s="37">
        <f t="shared" si="4"/>
        <v>0</v>
      </c>
      <c r="AD9" s="50">
        <f>X9+V9+T9+R9+P9+N9+M9+H9+F9</f>
        <v>2712</v>
      </c>
      <c r="AE9" s="22"/>
    </row>
    <row r="10" spans="1:31" ht="16.5" thickBot="1" x14ac:dyDescent="0.3">
      <c r="A10" s="6" t="s">
        <v>31</v>
      </c>
      <c r="B10" s="52">
        <v>0</v>
      </c>
      <c r="C10" s="44">
        <v>0</v>
      </c>
      <c r="D10" s="44">
        <v>-73.8</v>
      </c>
      <c r="E10" s="44">
        <f t="shared" si="0"/>
        <v>-73.8</v>
      </c>
      <c r="F10" s="45">
        <v>0</v>
      </c>
      <c r="G10" s="38">
        <f t="shared" si="5"/>
        <v>0</v>
      </c>
      <c r="H10" s="45">
        <v>0</v>
      </c>
      <c r="I10" s="38">
        <f t="shared" si="6"/>
        <v>0</v>
      </c>
      <c r="J10" s="46"/>
      <c r="K10" s="46"/>
      <c r="L10" s="47"/>
      <c r="M10" s="48">
        <v>0</v>
      </c>
      <c r="N10" s="48">
        <v>0</v>
      </c>
      <c r="O10" s="41">
        <f t="shared" si="7"/>
        <v>0</v>
      </c>
      <c r="P10" s="48">
        <v>0</v>
      </c>
      <c r="Q10" s="41">
        <f t="shared" si="1"/>
        <v>0</v>
      </c>
      <c r="R10" s="49">
        <v>0</v>
      </c>
      <c r="S10" s="37">
        <f t="shared" si="2"/>
        <v>0</v>
      </c>
      <c r="T10" s="37">
        <v>0</v>
      </c>
      <c r="U10" s="37">
        <f>SUM(T10)*21</f>
        <v>0</v>
      </c>
      <c r="V10" s="37">
        <v>0</v>
      </c>
      <c r="W10" s="37">
        <f>SUM(V10)*21</f>
        <v>0</v>
      </c>
      <c r="X10" s="37">
        <v>0</v>
      </c>
      <c r="Y10" s="37">
        <f t="shared" si="3"/>
        <v>0</v>
      </c>
      <c r="Z10" s="37">
        <v>0</v>
      </c>
      <c r="AA10" s="37">
        <v>0</v>
      </c>
      <c r="AB10" s="37">
        <v>0</v>
      </c>
      <c r="AC10" s="37">
        <f t="shared" si="4"/>
        <v>0</v>
      </c>
      <c r="AD10" s="50">
        <v>-1</v>
      </c>
      <c r="AE10" s="22"/>
    </row>
    <row r="11" spans="1:31" ht="16.5" thickBot="1" x14ac:dyDescent="0.3">
      <c r="A11" s="7" t="s">
        <v>20</v>
      </c>
      <c r="B11" s="53">
        <v>32876.42</v>
      </c>
      <c r="C11" s="44">
        <v>0</v>
      </c>
      <c r="D11" s="44">
        <v>-1.1200000000000001</v>
      </c>
      <c r="E11" s="44">
        <f t="shared" si="0"/>
        <v>32875.299999999996</v>
      </c>
      <c r="F11" s="45">
        <v>529</v>
      </c>
      <c r="G11" s="38">
        <f t="shared" si="5"/>
        <v>6348</v>
      </c>
      <c r="H11" s="45">
        <v>33</v>
      </c>
      <c r="I11" s="38">
        <f t="shared" si="6"/>
        <v>396</v>
      </c>
      <c r="J11" s="54"/>
      <c r="K11" s="54"/>
      <c r="L11" s="54"/>
      <c r="M11" s="48">
        <v>934</v>
      </c>
      <c r="N11" s="48">
        <v>37</v>
      </c>
      <c r="O11" s="41">
        <f t="shared" si="7"/>
        <v>9.25</v>
      </c>
      <c r="P11" s="48">
        <v>32</v>
      </c>
      <c r="Q11" s="41">
        <f t="shared" si="1"/>
        <v>8</v>
      </c>
      <c r="R11" s="49">
        <v>1</v>
      </c>
      <c r="S11" s="37">
        <f t="shared" si="2"/>
        <v>12</v>
      </c>
      <c r="T11" s="37">
        <v>50</v>
      </c>
      <c r="U11" s="37">
        <f>SUM(T11)*21</f>
        <v>1050</v>
      </c>
      <c r="V11" s="37">
        <v>12</v>
      </c>
      <c r="W11" s="37">
        <f>SUM(V11)*21</f>
        <v>252</v>
      </c>
      <c r="X11" s="37">
        <v>9</v>
      </c>
      <c r="Y11" s="37">
        <f t="shared" si="3"/>
        <v>216</v>
      </c>
      <c r="Z11" s="37">
        <v>4</v>
      </c>
      <c r="AA11" s="37">
        <f>Z11*0.36</f>
        <v>1.44</v>
      </c>
      <c r="AB11" s="37">
        <v>2</v>
      </c>
      <c r="AC11" s="37">
        <f t="shared" si="4"/>
        <v>0.72</v>
      </c>
      <c r="AD11" s="50">
        <f>SUM(F11+H11+M11+N11+P11+R11+T11+V11+X11+X13+Z11+AB11)</f>
        <v>1643</v>
      </c>
      <c r="AE11" s="22"/>
    </row>
    <row r="12" spans="1:31" ht="15" hidden="1" customHeight="1" x14ac:dyDescent="0.25">
      <c r="A12" s="5" t="s">
        <v>8</v>
      </c>
      <c r="B12" s="55"/>
      <c r="C12" s="55"/>
      <c r="D12" s="56"/>
      <c r="E12" s="56"/>
      <c r="F12" s="57"/>
      <c r="G12" s="38">
        <f t="shared" si="5"/>
        <v>0</v>
      </c>
      <c r="H12" s="58"/>
      <c r="I12" s="57">
        <f>H12*12</f>
        <v>0</v>
      </c>
      <c r="J12" s="46"/>
      <c r="K12" s="46"/>
      <c r="L12" s="47"/>
      <c r="M12" s="48"/>
      <c r="N12" s="48"/>
      <c r="O12" s="48"/>
      <c r="P12" s="48"/>
      <c r="Q12" s="49"/>
      <c r="R12" s="49"/>
      <c r="S12" s="49"/>
      <c r="T12" s="37"/>
      <c r="U12" s="37">
        <f t="shared" si="8"/>
        <v>0</v>
      </c>
      <c r="V12" s="49"/>
      <c r="W12" s="49"/>
      <c r="X12" s="49"/>
      <c r="Y12" s="49"/>
      <c r="Z12" s="49"/>
      <c r="AA12" s="49"/>
      <c r="AB12" s="49"/>
      <c r="AC12" s="49"/>
      <c r="AD12" s="59">
        <f>F12+H12+N12+P12+M12</f>
        <v>0</v>
      </c>
      <c r="AE12" s="22"/>
    </row>
    <row r="13" spans="1:31" ht="15" hidden="1" customHeight="1" x14ac:dyDescent="0.25">
      <c r="A13" s="3" t="s">
        <v>17</v>
      </c>
      <c r="B13" s="60"/>
      <c r="C13" s="60"/>
      <c r="D13" s="56"/>
      <c r="E13" s="56"/>
      <c r="F13" s="57"/>
      <c r="G13" s="38">
        <f t="shared" si="5"/>
        <v>0</v>
      </c>
      <c r="H13" s="58"/>
      <c r="I13" s="57">
        <f>H13*12</f>
        <v>0</v>
      </c>
      <c r="J13" s="46"/>
      <c r="K13" s="46"/>
      <c r="L13" s="47"/>
      <c r="M13" s="48"/>
      <c r="N13" s="48"/>
      <c r="O13" s="48"/>
      <c r="P13" s="48"/>
      <c r="Q13" s="49"/>
      <c r="R13" s="49"/>
      <c r="S13" s="49"/>
      <c r="T13" s="37"/>
      <c r="U13" s="37">
        <f t="shared" si="8"/>
        <v>0</v>
      </c>
      <c r="V13" s="49"/>
      <c r="W13" s="49"/>
      <c r="X13" s="49"/>
      <c r="Y13" s="49"/>
      <c r="Z13" s="49"/>
      <c r="AA13" s="49"/>
      <c r="AB13" s="49"/>
      <c r="AC13" s="49"/>
      <c r="AD13" s="59">
        <f>F13+H13+N13+P13+M13</f>
        <v>0</v>
      </c>
      <c r="AE13" s="22"/>
    </row>
    <row r="14" spans="1:31" ht="15" hidden="1" customHeight="1" x14ac:dyDescent="0.25">
      <c r="A14" s="10" t="s">
        <v>7</v>
      </c>
      <c r="B14" s="61"/>
      <c r="C14" s="61"/>
      <c r="D14" s="56"/>
      <c r="E14" s="56"/>
      <c r="F14" s="57"/>
      <c r="G14" s="38">
        <f t="shared" si="5"/>
        <v>0</v>
      </c>
      <c r="H14" s="58"/>
      <c r="I14" s="57"/>
      <c r="J14" s="46"/>
      <c r="K14" s="46"/>
      <c r="L14" s="47"/>
      <c r="M14" s="48"/>
      <c r="N14" s="48"/>
      <c r="O14" s="48"/>
      <c r="P14" s="48"/>
      <c r="Q14" s="49"/>
      <c r="R14" s="49"/>
      <c r="S14" s="49"/>
      <c r="T14" s="37"/>
      <c r="U14" s="37">
        <f t="shared" si="8"/>
        <v>0</v>
      </c>
      <c r="V14" s="49"/>
      <c r="W14" s="49"/>
      <c r="X14" s="49"/>
      <c r="Y14" s="49"/>
      <c r="Z14" s="49"/>
      <c r="AA14" s="49"/>
      <c r="AB14" s="49"/>
      <c r="AC14" s="49"/>
      <c r="AD14" s="62">
        <f>F14+H14+N14+P14+M14</f>
        <v>0</v>
      </c>
      <c r="AE14" s="22"/>
    </row>
    <row r="15" spans="1:31" ht="16.5" thickBot="1" x14ac:dyDescent="0.3">
      <c r="A15" s="18" t="s">
        <v>12</v>
      </c>
      <c r="B15" s="19">
        <f>SUM(B6:B14)</f>
        <v>250218.11</v>
      </c>
      <c r="C15" s="19">
        <f>SUM(C6:C14)</f>
        <v>-17.489999999999998</v>
      </c>
      <c r="D15" s="19">
        <f>SUM(D6:D14)</f>
        <v>-404.89</v>
      </c>
      <c r="E15" s="19">
        <f>SUM(B15:D15)</f>
        <v>249795.72999999998</v>
      </c>
      <c r="F15" s="63">
        <f>SUM(F6:F14)</f>
        <v>10560</v>
      </c>
      <c r="G15" s="64">
        <f t="shared" si="5"/>
        <v>126720</v>
      </c>
      <c r="H15" s="63">
        <f>SUM(H6:H13)</f>
        <v>319</v>
      </c>
      <c r="I15" s="65">
        <f>H15*12</f>
        <v>3828</v>
      </c>
      <c r="J15" s="66">
        <f>SUM(J8:K13)</f>
        <v>0</v>
      </c>
      <c r="K15" s="65"/>
      <c r="L15" s="66">
        <f>SUM(L8:L13)</f>
        <v>0</v>
      </c>
      <c r="M15" s="63">
        <f>SUM(M6:M14)</f>
        <v>3881</v>
      </c>
      <c r="N15" s="63">
        <f>SUM(N6:N14)</f>
        <v>110</v>
      </c>
      <c r="O15" s="65">
        <f>SUM(O6:O11)</f>
        <v>27.5</v>
      </c>
      <c r="P15" s="63">
        <f>SUM(P6:P14)</f>
        <v>100</v>
      </c>
      <c r="Q15" s="63">
        <f>SUM(Q6:Q11)</f>
        <v>25</v>
      </c>
      <c r="R15" s="63">
        <f>SUM(R6:R14)</f>
        <v>1</v>
      </c>
      <c r="S15" s="63">
        <f>SUM(S6:S11)</f>
        <v>12</v>
      </c>
      <c r="T15" s="63">
        <f t="shared" ref="T15:Y15" si="9">SUM(T6:T14)</f>
        <v>195</v>
      </c>
      <c r="U15" s="63">
        <f t="shared" si="9"/>
        <v>4095</v>
      </c>
      <c r="V15" s="63">
        <f t="shared" si="9"/>
        <v>132</v>
      </c>
      <c r="W15" s="63">
        <f t="shared" si="9"/>
        <v>2772</v>
      </c>
      <c r="X15" s="63">
        <f t="shared" si="9"/>
        <v>23</v>
      </c>
      <c r="Y15" s="63">
        <f t="shared" si="9"/>
        <v>552</v>
      </c>
      <c r="Z15" s="63">
        <f>SUM(Z6:Z11)</f>
        <v>31</v>
      </c>
      <c r="AA15" s="63">
        <f>SUM(AA6:AA14)</f>
        <v>11.159999999999998</v>
      </c>
      <c r="AB15" s="63">
        <f>SUM(AB6:AB11)</f>
        <v>13</v>
      </c>
      <c r="AC15" s="63">
        <f>SUM(AC6:AC14)</f>
        <v>4.68</v>
      </c>
      <c r="AD15" s="63"/>
      <c r="AE15" s="23"/>
    </row>
    <row r="16" spans="1:31" ht="16.5" thickBot="1" x14ac:dyDescent="0.3">
      <c r="A16" s="25" t="s">
        <v>24</v>
      </c>
      <c r="B16" s="26">
        <f>SUM(AD6:AD11)</f>
        <v>15354</v>
      </c>
      <c r="C16" s="4"/>
      <c r="D16" s="4"/>
      <c r="E16" s="4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20"/>
    </row>
    <row r="17" spans="2:31" x14ac:dyDescent="0.25">
      <c r="AE17" s="20"/>
    </row>
    <row r="18" spans="2:31" x14ac:dyDescent="0.25">
      <c r="B18" s="2"/>
      <c r="C18" s="2"/>
      <c r="D18" s="2"/>
      <c r="E18" s="2"/>
    </row>
    <row r="19" spans="2:31" x14ac:dyDescent="0.25">
      <c r="F19" s="20"/>
      <c r="G19" s="20"/>
      <c r="H19" s="20"/>
      <c r="I19" s="20"/>
      <c r="J19" s="20"/>
      <c r="K19" s="20"/>
      <c r="L19" s="20"/>
      <c r="M19" s="20"/>
    </row>
    <row r="20" spans="2:31" x14ac:dyDescent="0.25">
      <c r="C20" s="153"/>
      <c r="D20" s="153"/>
      <c r="F20" s="155"/>
      <c r="G20" s="155"/>
      <c r="H20" s="155"/>
      <c r="I20" s="155"/>
      <c r="J20" s="20"/>
      <c r="K20" s="20"/>
      <c r="L20" s="20"/>
      <c r="M20" s="20"/>
    </row>
    <row r="21" spans="2:31" x14ac:dyDescent="0.25">
      <c r="C21" s="69"/>
      <c r="F21" s="155"/>
      <c r="G21" s="155"/>
      <c r="H21" s="155"/>
      <c r="I21" s="155"/>
      <c r="J21" s="20"/>
      <c r="K21" s="20"/>
      <c r="L21" s="20"/>
      <c r="M21" s="20"/>
    </row>
    <row r="22" spans="2:31" x14ac:dyDescent="0.25">
      <c r="F22" s="20"/>
      <c r="G22" s="68"/>
      <c r="H22" s="20"/>
      <c r="I22" s="20"/>
      <c r="J22" s="20"/>
      <c r="K22" s="20"/>
      <c r="L22" s="20"/>
      <c r="M22" s="20"/>
    </row>
    <row r="23" spans="2:31" x14ac:dyDescent="0.25">
      <c r="F23" s="150"/>
      <c r="G23" s="150"/>
      <c r="H23" s="150"/>
      <c r="I23" s="150"/>
      <c r="J23" s="20"/>
      <c r="K23" s="20"/>
      <c r="L23" s="20"/>
      <c r="M23" s="20"/>
    </row>
    <row r="24" spans="2:31" x14ac:dyDescent="0.25">
      <c r="F24" s="20"/>
      <c r="G24" s="20"/>
      <c r="H24" s="20"/>
      <c r="I24" s="20"/>
      <c r="J24" s="20"/>
      <c r="K24" s="20"/>
      <c r="L24" s="20"/>
      <c r="M24" s="20"/>
    </row>
    <row r="25" spans="2:31" x14ac:dyDescent="0.25">
      <c r="F25" s="20"/>
      <c r="G25" s="20"/>
      <c r="H25" s="20"/>
      <c r="I25" s="20"/>
      <c r="J25" s="20"/>
      <c r="K25" s="20"/>
      <c r="L25" s="20"/>
      <c r="M25" s="20"/>
    </row>
  </sheetData>
  <mergeCells count="15">
    <mergeCell ref="C20:D20"/>
    <mergeCell ref="Z4:AA4"/>
    <mergeCell ref="AB4:AC4"/>
    <mergeCell ref="X4:Y4"/>
    <mergeCell ref="F3:AD3"/>
    <mergeCell ref="F20:G21"/>
    <mergeCell ref="H20:I21"/>
    <mergeCell ref="P4:Q4"/>
    <mergeCell ref="T4:U4"/>
    <mergeCell ref="V4:W4"/>
    <mergeCell ref="F23:G23"/>
    <mergeCell ref="H23:I23"/>
    <mergeCell ref="H4:I4"/>
    <mergeCell ref="F4:G4"/>
    <mergeCell ref="N4:O4"/>
  </mergeCells>
  <pageMargins left="0.7" right="0.7" top="0.75" bottom="0.75" header="0.3" footer="0.3"/>
  <pageSetup scale="33" orientation="landscape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S99"/>
  <sheetViews>
    <sheetView tabSelected="1" zoomScaleNormal="100" workbookViewId="0">
      <selection activeCell="G98" sqref="G98"/>
    </sheetView>
  </sheetViews>
  <sheetFormatPr baseColWidth="10" defaultRowHeight="15" x14ac:dyDescent="0.25"/>
  <cols>
    <col min="1" max="1" width="46.7109375" bestFit="1" customWidth="1"/>
    <col min="2" max="2" width="19.28515625" bestFit="1" customWidth="1"/>
    <col min="3" max="3" width="14" style="71" customWidth="1"/>
    <col min="4" max="4" width="18.42578125" style="71" customWidth="1"/>
    <col min="5" max="5" width="16.42578125" style="71" customWidth="1"/>
    <col min="6" max="6" width="20.140625" style="71" customWidth="1"/>
    <col min="7" max="7" width="14.140625" style="71" customWidth="1"/>
    <col min="8" max="10" width="13" style="141" customWidth="1"/>
    <col min="11" max="11" width="16.28515625" bestFit="1" customWidth="1"/>
    <col min="12" max="12" width="15.28515625" style="71" hidden="1" customWidth="1"/>
    <col min="13" max="13" width="14" style="71" hidden="1" customWidth="1"/>
    <col min="14" max="14" width="23.28515625" customWidth="1"/>
    <col min="15" max="15" width="16.140625" bestFit="1" customWidth="1"/>
    <col min="16" max="17" width="11.5703125" customWidth="1"/>
    <col min="18" max="18" width="13.7109375" customWidth="1"/>
    <col min="19" max="19" width="11.5703125" customWidth="1"/>
  </cols>
  <sheetData>
    <row r="1" spans="1:19" s="69" customFormat="1" ht="70.5" thickBot="1" x14ac:dyDescent="0.3">
      <c r="A1" s="171"/>
      <c r="B1" s="17" t="s">
        <v>4</v>
      </c>
      <c r="C1" s="88" t="s">
        <v>14</v>
      </c>
      <c r="D1" s="111" t="s">
        <v>72</v>
      </c>
      <c r="E1" s="88" t="s">
        <v>18</v>
      </c>
      <c r="F1" s="89" t="s">
        <v>71</v>
      </c>
      <c r="G1" s="88" t="s">
        <v>31</v>
      </c>
      <c r="H1" s="138" t="s">
        <v>75</v>
      </c>
      <c r="I1" s="148" t="s">
        <v>8</v>
      </c>
      <c r="J1" s="148" t="s">
        <v>17</v>
      </c>
      <c r="K1" s="17" t="s">
        <v>12</v>
      </c>
      <c r="L1" s="88" t="s">
        <v>11</v>
      </c>
      <c r="M1" s="88" t="s">
        <v>20</v>
      </c>
      <c r="N1" s="144" t="s">
        <v>76</v>
      </c>
      <c r="O1" s="137"/>
    </row>
    <row r="2" spans="1:19" s="83" customFormat="1" ht="16.5" thickBot="1" x14ac:dyDescent="0.3">
      <c r="A2" s="171"/>
      <c r="B2" s="125" t="s">
        <v>21</v>
      </c>
      <c r="C2" s="70">
        <v>837.18</v>
      </c>
      <c r="D2" s="145">
        <v>6344.4</v>
      </c>
      <c r="E2" s="145">
        <v>25711.040000000001</v>
      </c>
      <c r="F2" s="70">
        <v>6240.24</v>
      </c>
      <c r="G2" s="145">
        <v>10099.709999999999</v>
      </c>
      <c r="H2" s="139">
        <v>4104.09</v>
      </c>
      <c r="I2" s="139">
        <v>8425.2199999999993</v>
      </c>
      <c r="J2" s="139">
        <v>4005.49</v>
      </c>
      <c r="K2" s="146">
        <f>SUM(C2+D2+E2+F2+G2+H2+I2+J2)</f>
        <v>65767.37000000001</v>
      </c>
      <c r="L2" s="70"/>
      <c r="M2" s="70"/>
      <c r="N2" s="84"/>
      <c r="P2" s="84"/>
    </row>
    <row r="3" spans="1:19" s="83" customFormat="1" ht="16.5" thickBot="1" x14ac:dyDescent="0.3">
      <c r="A3" s="171"/>
      <c r="B3" s="125" t="s">
        <v>70</v>
      </c>
      <c r="C3" s="70"/>
      <c r="D3" s="142"/>
      <c r="E3" s="82"/>
      <c r="F3" s="82"/>
      <c r="G3" s="82"/>
      <c r="H3" s="143"/>
      <c r="I3" s="143"/>
      <c r="J3" s="143"/>
      <c r="K3" s="146">
        <f t="shared" ref="K3:K66" si="0">SUM(C3+D3+E3+F3+G3+H3+I3+J3)</f>
        <v>0</v>
      </c>
      <c r="L3" s="70"/>
      <c r="M3" s="136"/>
      <c r="N3" s="84"/>
      <c r="P3" s="84"/>
    </row>
    <row r="4" spans="1:19" s="83" customFormat="1" ht="16.5" thickBot="1" x14ac:dyDescent="0.3">
      <c r="A4" s="171"/>
      <c r="B4" s="86" t="s">
        <v>30</v>
      </c>
      <c r="C4" s="82"/>
      <c r="D4" s="126"/>
      <c r="E4" s="117"/>
      <c r="F4" s="82"/>
      <c r="G4" s="70"/>
      <c r="H4" s="140"/>
      <c r="I4" s="140"/>
      <c r="J4" s="140"/>
      <c r="K4" s="146">
        <f t="shared" si="0"/>
        <v>0</v>
      </c>
      <c r="L4" s="82"/>
      <c r="M4" s="112"/>
      <c r="N4" s="4"/>
      <c r="P4" s="84"/>
      <c r="R4" s="170"/>
      <c r="S4" s="85"/>
    </row>
    <row r="5" spans="1:19" s="83" customFormat="1" ht="16.5" thickBot="1" x14ac:dyDescent="0.3">
      <c r="A5" s="171"/>
      <c r="B5" s="86" t="s">
        <v>22</v>
      </c>
      <c r="C5" s="82"/>
      <c r="D5" s="126"/>
      <c r="E5" s="117">
        <v>-219</v>
      </c>
      <c r="F5" s="82"/>
      <c r="G5" s="70"/>
      <c r="H5" s="140"/>
      <c r="I5" s="140"/>
      <c r="J5" s="140"/>
      <c r="K5" s="146">
        <f>SUM(C5+D5+E5+F5+G5+H5+I5+J5)</f>
        <v>-219</v>
      </c>
      <c r="L5" s="82"/>
      <c r="M5" s="112"/>
      <c r="N5" s="4"/>
      <c r="P5" s="84"/>
      <c r="R5" s="170"/>
    </row>
    <row r="6" spans="1:19" s="83" customFormat="1" ht="16.5" thickBot="1" x14ac:dyDescent="0.3">
      <c r="A6" s="172"/>
      <c r="B6" s="86" t="s">
        <v>23</v>
      </c>
      <c r="C6" s="81">
        <f>SUM(C2:C5)</f>
        <v>837.18</v>
      </c>
      <c r="D6" s="142">
        <f>SUM(D2+D4+D5+Q27+Q30)</f>
        <v>6344.4</v>
      </c>
      <c r="E6" s="117">
        <f>SUM(E2:E5)</f>
        <v>25492.04</v>
      </c>
      <c r="F6" s="82">
        <f t="shared" ref="E6:G6" si="1">SUM(F2:F5)</f>
        <v>6240.24</v>
      </c>
      <c r="G6" s="81">
        <f t="shared" si="1"/>
        <v>10099.709999999999</v>
      </c>
      <c r="H6" s="143">
        <f>SUM(H2,H4:H5)</f>
        <v>4104.09</v>
      </c>
      <c r="I6" s="143">
        <f>SUM(I2,I4:I5)</f>
        <v>8425.2199999999993</v>
      </c>
      <c r="J6" s="143">
        <f>SUM(J2,J4:J5)</f>
        <v>4005.49</v>
      </c>
      <c r="K6" s="146">
        <f>SUM(C6+D6+E6+F6+G6+H6+I6+J6)</f>
        <v>65548.37000000001</v>
      </c>
      <c r="L6" s="82">
        <f>SUM(L2:L5)</f>
        <v>0</v>
      </c>
      <c r="M6" s="112">
        <f>SUM(M2:M5)</f>
        <v>0</v>
      </c>
      <c r="N6" s="93"/>
      <c r="O6" s="84"/>
      <c r="P6" s="84"/>
    </row>
    <row r="7" spans="1:19" s="77" customFormat="1" ht="16.5" thickBot="1" x14ac:dyDescent="0.3">
      <c r="A7" s="162" t="s">
        <v>0</v>
      </c>
      <c r="B7" s="73" t="s">
        <v>5</v>
      </c>
      <c r="C7" s="75">
        <v>22</v>
      </c>
      <c r="D7" s="127">
        <v>142</v>
      </c>
      <c r="E7" s="118">
        <v>673</v>
      </c>
      <c r="F7" s="75">
        <v>109</v>
      </c>
      <c r="G7" s="74">
        <v>137</v>
      </c>
      <c r="H7" s="140">
        <v>109</v>
      </c>
      <c r="I7" s="140">
        <v>96</v>
      </c>
      <c r="J7" s="140">
        <v>104</v>
      </c>
      <c r="K7" s="146">
        <f t="shared" si="0"/>
        <v>1392</v>
      </c>
      <c r="L7" s="75"/>
      <c r="M7" s="80"/>
      <c r="N7" s="76"/>
      <c r="Q7" s="78"/>
      <c r="R7" s="155"/>
      <c r="S7" s="155"/>
    </row>
    <row r="8" spans="1:19" ht="16.5" thickBot="1" x14ac:dyDescent="0.3">
      <c r="A8" s="173"/>
      <c r="B8" s="28" t="s">
        <v>6</v>
      </c>
      <c r="C8" s="74">
        <f t="shared" ref="C8:G8" si="2">C7*12</f>
        <v>264</v>
      </c>
      <c r="D8" s="102">
        <f t="shared" ref="D8:E8" si="3">D7*12</f>
        <v>1704</v>
      </c>
      <c r="E8" s="102">
        <f t="shared" si="3"/>
        <v>8076</v>
      </c>
      <c r="F8" s="74">
        <f t="shared" si="2"/>
        <v>1308</v>
      </c>
      <c r="G8" s="74">
        <f t="shared" si="2"/>
        <v>1644</v>
      </c>
      <c r="H8" s="140">
        <f>H7*12</f>
        <v>1308</v>
      </c>
      <c r="I8" s="140">
        <f>I7*12</f>
        <v>1152</v>
      </c>
      <c r="J8" s="140">
        <f>J7*12</f>
        <v>1248</v>
      </c>
      <c r="K8" s="146">
        <f t="shared" si="0"/>
        <v>16704</v>
      </c>
      <c r="L8" s="74">
        <f>L7*12</f>
        <v>0</v>
      </c>
      <c r="M8" s="79">
        <f t="shared" ref="M8" si="4">M7*12</f>
        <v>0</v>
      </c>
      <c r="N8" s="67"/>
      <c r="Q8" s="20"/>
      <c r="R8" s="155"/>
      <c r="S8" s="155"/>
    </row>
    <row r="9" spans="1:19" ht="16.5" thickBot="1" x14ac:dyDescent="0.3">
      <c r="A9" s="162" t="s">
        <v>13</v>
      </c>
      <c r="B9" s="27" t="s">
        <v>5</v>
      </c>
      <c r="C9" s="75"/>
      <c r="D9" s="127"/>
      <c r="E9" s="118"/>
      <c r="F9" s="75"/>
      <c r="G9" s="74"/>
      <c r="H9" s="140"/>
      <c r="I9" s="140"/>
      <c r="J9" s="140"/>
      <c r="K9" s="146">
        <f t="shared" si="0"/>
        <v>0</v>
      </c>
      <c r="L9" s="75"/>
      <c r="M9" s="80"/>
      <c r="N9" s="67"/>
      <c r="Q9" s="20"/>
      <c r="R9" s="155"/>
      <c r="S9" s="155"/>
    </row>
    <row r="10" spans="1:19" ht="16.5" thickBot="1" x14ac:dyDescent="0.3">
      <c r="A10" s="173"/>
      <c r="B10" s="28" t="s">
        <v>6</v>
      </c>
      <c r="C10" s="74">
        <f t="shared" ref="C10:G10" si="5">SUM(C9)*12</f>
        <v>0</v>
      </c>
      <c r="D10" s="102">
        <f t="shared" ref="D10" si="6">SUM(D9)*12</f>
        <v>0</v>
      </c>
      <c r="E10" s="119"/>
      <c r="F10" s="74">
        <f t="shared" si="5"/>
        <v>0</v>
      </c>
      <c r="G10" s="74">
        <f t="shared" si="5"/>
        <v>0</v>
      </c>
      <c r="H10" s="140">
        <f>SUM(H9)*12</f>
        <v>0</v>
      </c>
      <c r="I10" s="140">
        <f>SUM(I9)*12</f>
        <v>0</v>
      </c>
      <c r="J10" s="140">
        <f>SUM(J9)*12</f>
        <v>0</v>
      </c>
      <c r="K10" s="146">
        <f t="shared" si="0"/>
        <v>0</v>
      </c>
      <c r="L10" s="74">
        <f>SUM(L9)*12</f>
        <v>0</v>
      </c>
      <c r="M10" s="79">
        <f t="shared" ref="M10" si="7">SUM(M9)*12</f>
        <v>0</v>
      </c>
      <c r="N10" s="67"/>
      <c r="Q10" s="20"/>
      <c r="R10" s="155"/>
      <c r="S10" s="155"/>
    </row>
    <row r="11" spans="1:19" ht="16.5" thickBot="1" x14ac:dyDescent="0.3">
      <c r="A11" s="87" t="s">
        <v>3</v>
      </c>
      <c r="B11" s="31" t="s">
        <v>15</v>
      </c>
      <c r="C11" s="75">
        <v>14</v>
      </c>
      <c r="D11" s="102">
        <v>137</v>
      </c>
      <c r="E11" s="118">
        <v>465</v>
      </c>
      <c r="F11" s="75">
        <v>188</v>
      </c>
      <c r="G11" s="74">
        <v>225</v>
      </c>
      <c r="H11" s="140">
        <v>67</v>
      </c>
      <c r="I11" s="140">
        <v>215</v>
      </c>
      <c r="J11" s="140">
        <v>61</v>
      </c>
      <c r="K11" s="146">
        <f t="shared" si="0"/>
        <v>1372</v>
      </c>
      <c r="L11" s="75"/>
      <c r="M11" s="80"/>
      <c r="N11" s="67"/>
      <c r="Q11" s="20"/>
      <c r="R11" s="20"/>
      <c r="S11" s="20"/>
    </row>
    <row r="12" spans="1:19" ht="16.5" thickBot="1" x14ac:dyDescent="0.3">
      <c r="A12" s="91" t="s">
        <v>36</v>
      </c>
      <c r="B12" s="31" t="s">
        <v>15</v>
      </c>
      <c r="C12" s="75"/>
      <c r="D12" s="127"/>
      <c r="E12" s="118"/>
      <c r="F12" s="75"/>
      <c r="G12" s="74"/>
      <c r="H12" s="140"/>
      <c r="I12" s="140"/>
      <c r="J12" s="140"/>
      <c r="K12" s="146">
        <f t="shared" si="0"/>
        <v>0</v>
      </c>
      <c r="L12" s="75"/>
      <c r="M12" s="80"/>
      <c r="N12" s="67"/>
      <c r="Q12" s="20"/>
      <c r="R12" s="20"/>
      <c r="S12" s="20"/>
    </row>
    <row r="13" spans="1:19" ht="16.5" thickBot="1" x14ac:dyDescent="0.3">
      <c r="A13" s="162" t="s">
        <v>10</v>
      </c>
      <c r="B13" s="27" t="s">
        <v>5</v>
      </c>
      <c r="C13" s="75"/>
      <c r="D13" s="127"/>
      <c r="E13" s="118"/>
      <c r="F13" s="75"/>
      <c r="G13" s="74"/>
      <c r="H13" s="140"/>
      <c r="I13" s="140"/>
      <c r="J13" s="140"/>
      <c r="K13" s="146">
        <f t="shared" si="0"/>
        <v>0</v>
      </c>
      <c r="L13" s="75"/>
      <c r="M13" s="80"/>
      <c r="N13" s="67"/>
    </row>
    <row r="14" spans="1:19" ht="16.5" thickBot="1" x14ac:dyDescent="0.3">
      <c r="A14" s="173"/>
      <c r="B14" s="28" t="s">
        <v>6</v>
      </c>
      <c r="C14" s="74">
        <f t="shared" ref="C14:G14" si="8">C13*0.25</f>
        <v>0</v>
      </c>
      <c r="D14" s="102">
        <f t="shared" ref="D14" si="9">D13*0.25</f>
        <v>0</v>
      </c>
      <c r="E14" s="119"/>
      <c r="F14" s="74">
        <f t="shared" si="8"/>
        <v>0</v>
      </c>
      <c r="G14" s="74">
        <f t="shared" si="8"/>
        <v>0</v>
      </c>
      <c r="H14" s="140">
        <f>H13*0.25</f>
        <v>0</v>
      </c>
      <c r="I14" s="140">
        <f>I13*0.25</f>
        <v>0</v>
      </c>
      <c r="J14" s="140">
        <f>J13*0.25</f>
        <v>0</v>
      </c>
      <c r="K14" s="146">
        <f t="shared" si="0"/>
        <v>0</v>
      </c>
      <c r="L14" s="74">
        <f>L13*0.25</f>
        <v>0</v>
      </c>
      <c r="M14" s="79">
        <f t="shared" ref="M14" si="10">M13*0.25</f>
        <v>0</v>
      </c>
      <c r="N14" s="67"/>
    </row>
    <row r="15" spans="1:19" ht="16.5" thickBot="1" x14ac:dyDescent="0.3">
      <c r="A15" s="162" t="s">
        <v>16</v>
      </c>
      <c r="B15" s="27" t="s">
        <v>5</v>
      </c>
      <c r="C15" s="75"/>
      <c r="D15" s="127"/>
      <c r="E15" s="118"/>
      <c r="F15" s="75"/>
      <c r="G15" s="74"/>
      <c r="H15" s="140"/>
      <c r="I15" s="140"/>
      <c r="J15" s="140"/>
      <c r="K15" s="146">
        <f t="shared" si="0"/>
        <v>0</v>
      </c>
      <c r="L15" s="75"/>
      <c r="M15" s="80"/>
      <c r="N15" s="67"/>
    </row>
    <row r="16" spans="1:19" ht="16.5" thickBot="1" x14ac:dyDescent="0.3">
      <c r="A16" s="173"/>
      <c r="B16" s="32" t="s">
        <v>6</v>
      </c>
      <c r="C16" s="74">
        <f t="shared" ref="C16:G16" si="11">C15*0.25</f>
        <v>0</v>
      </c>
      <c r="D16" s="102">
        <f t="shared" ref="D16" si="12">D15*0.25</f>
        <v>0</v>
      </c>
      <c r="E16" s="119"/>
      <c r="F16" s="74">
        <f t="shared" si="11"/>
        <v>0</v>
      </c>
      <c r="G16" s="74">
        <f t="shared" si="11"/>
        <v>0</v>
      </c>
      <c r="H16" s="140">
        <f>H15*0.25</f>
        <v>0</v>
      </c>
      <c r="I16" s="140">
        <f>I15*0.25</f>
        <v>0</v>
      </c>
      <c r="J16" s="140">
        <f>J15*0.25</f>
        <v>0</v>
      </c>
      <c r="K16" s="146">
        <f t="shared" si="0"/>
        <v>0</v>
      </c>
      <c r="L16" s="74">
        <f>L15*0.25</f>
        <v>0</v>
      </c>
      <c r="M16" s="79">
        <f t="shared" ref="M16" si="13">M15*0.25</f>
        <v>0</v>
      </c>
      <c r="N16" s="67"/>
    </row>
    <row r="17" spans="1:18" ht="16.5" thickBot="1" x14ac:dyDescent="0.3">
      <c r="A17" s="163" t="s">
        <v>26</v>
      </c>
      <c r="B17" s="32" t="s">
        <v>15</v>
      </c>
      <c r="C17" s="80"/>
      <c r="D17" s="127"/>
      <c r="E17" s="120"/>
      <c r="F17" s="80"/>
      <c r="G17" s="79"/>
      <c r="H17" s="140"/>
      <c r="I17" s="140"/>
      <c r="J17" s="140"/>
      <c r="K17" s="146">
        <f t="shared" si="0"/>
        <v>0</v>
      </c>
      <c r="L17" s="80"/>
      <c r="M17" s="80"/>
      <c r="N17" s="67"/>
    </row>
    <row r="18" spans="1:18" ht="16.5" thickBot="1" x14ac:dyDescent="0.3">
      <c r="A18" s="164"/>
      <c r="B18" s="32" t="s">
        <v>6</v>
      </c>
      <c r="C18" s="74">
        <f t="shared" ref="C18:G18" si="14">C17*12</f>
        <v>0</v>
      </c>
      <c r="D18" s="102">
        <f t="shared" ref="D18" si="15">D17*12</f>
        <v>0</v>
      </c>
      <c r="E18" s="119">
        <v>0</v>
      </c>
      <c r="F18" s="74">
        <f t="shared" si="14"/>
        <v>0</v>
      </c>
      <c r="G18" s="74">
        <f t="shared" si="14"/>
        <v>0</v>
      </c>
      <c r="H18" s="140">
        <f>H17*12</f>
        <v>0</v>
      </c>
      <c r="I18" s="140">
        <f>I17*12</f>
        <v>0</v>
      </c>
      <c r="J18" s="140">
        <f>J17*12</f>
        <v>0</v>
      </c>
      <c r="K18" s="146">
        <f t="shared" si="0"/>
        <v>0</v>
      </c>
      <c r="L18" s="74">
        <f>L17*12</f>
        <v>0</v>
      </c>
      <c r="M18" s="79">
        <f t="shared" ref="M18" si="16">M17*12</f>
        <v>0</v>
      </c>
      <c r="N18" s="67"/>
    </row>
    <row r="19" spans="1:18" ht="16.5" thickBot="1" x14ac:dyDescent="0.3">
      <c r="A19" s="162" t="s">
        <v>27</v>
      </c>
      <c r="B19" s="32" t="s">
        <v>15</v>
      </c>
      <c r="C19" s="74"/>
      <c r="D19" s="127"/>
      <c r="E19" s="128"/>
      <c r="F19" s="110"/>
      <c r="G19" s="110"/>
      <c r="H19" s="140"/>
      <c r="I19" s="140"/>
      <c r="J19" s="140"/>
      <c r="K19" s="146">
        <f t="shared" si="0"/>
        <v>0</v>
      </c>
      <c r="L19" s="74"/>
      <c r="M19" s="79"/>
      <c r="N19" s="67"/>
    </row>
    <row r="20" spans="1:18" ht="16.5" thickBot="1" x14ac:dyDescent="0.3">
      <c r="A20" s="173"/>
      <c r="B20" s="32" t="s">
        <v>6</v>
      </c>
      <c r="C20" s="74">
        <f>SUM(C19)*21.6</f>
        <v>0</v>
      </c>
      <c r="D20" s="102">
        <f>SUM(D19)*21</f>
        <v>0</v>
      </c>
      <c r="E20" s="119">
        <v>0</v>
      </c>
      <c r="F20" s="74">
        <f>SUM(F19)*21</f>
        <v>0</v>
      </c>
      <c r="G20" s="74">
        <f>SUM(G19)*21</f>
        <v>0</v>
      </c>
      <c r="H20" s="140">
        <f>SUM(H19)*21</f>
        <v>0</v>
      </c>
      <c r="I20" s="140">
        <f>SUM(I19)*21</f>
        <v>0</v>
      </c>
      <c r="J20" s="140">
        <f>SUM(J19)*21</f>
        <v>0</v>
      </c>
      <c r="K20" s="146">
        <f t="shared" si="0"/>
        <v>0</v>
      </c>
      <c r="L20" s="74">
        <f>SUM(L19)*21</f>
        <v>0</v>
      </c>
      <c r="M20" s="79">
        <f>SUM(M19)*21</f>
        <v>0</v>
      </c>
      <c r="N20" s="67"/>
    </row>
    <row r="21" spans="1:18" ht="16.5" thickBot="1" x14ac:dyDescent="0.3">
      <c r="A21" s="165" t="s">
        <v>37</v>
      </c>
      <c r="B21" s="32" t="s">
        <v>15</v>
      </c>
      <c r="C21" s="74"/>
      <c r="D21" s="127"/>
      <c r="E21" s="119"/>
      <c r="F21" s="74"/>
      <c r="G21" s="74"/>
      <c r="H21" s="140"/>
      <c r="I21" s="140"/>
      <c r="J21" s="140"/>
      <c r="K21" s="146">
        <f t="shared" si="0"/>
        <v>0</v>
      </c>
      <c r="L21" s="74"/>
      <c r="M21" s="79"/>
      <c r="N21" s="67"/>
    </row>
    <row r="22" spans="1:18" ht="16.5" thickBot="1" x14ac:dyDescent="0.3">
      <c r="A22" s="166"/>
      <c r="B22" s="32" t="s">
        <v>6</v>
      </c>
      <c r="C22" s="74">
        <f t="shared" ref="C22:G22" si="17">C21*12</f>
        <v>0</v>
      </c>
      <c r="D22" s="102">
        <f t="shared" si="17"/>
        <v>0</v>
      </c>
      <c r="E22" s="119">
        <f t="shared" si="17"/>
        <v>0</v>
      </c>
      <c r="F22" s="74">
        <f t="shared" si="17"/>
        <v>0</v>
      </c>
      <c r="G22" s="74">
        <f t="shared" si="17"/>
        <v>0</v>
      </c>
      <c r="H22" s="140">
        <f>H21*12</f>
        <v>0</v>
      </c>
      <c r="I22" s="140">
        <f>I21*12</f>
        <v>0</v>
      </c>
      <c r="J22" s="140">
        <f>J21*12</f>
        <v>0</v>
      </c>
      <c r="K22" s="146">
        <f t="shared" si="0"/>
        <v>0</v>
      </c>
      <c r="L22" s="74">
        <f>L21*12</f>
        <v>0</v>
      </c>
      <c r="M22" s="79">
        <f>M21*12</f>
        <v>0</v>
      </c>
      <c r="N22" s="67"/>
    </row>
    <row r="23" spans="1:18" ht="16.5" thickBot="1" x14ac:dyDescent="0.3">
      <c r="A23" s="162" t="s">
        <v>28</v>
      </c>
      <c r="B23" s="32" t="s">
        <v>15</v>
      </c>
      <c r="C23" s="74"/>
      <c r="D23" s="127"/>
      <c r="E23" s="119"/>
      <c r="F23" s="74"/>
      <c r="G23" s="74"/>
      <c r="H23" s="140"/>
      <c r="I23" s="140"/>
      <c r="J23" s="140"/>
      <c r="K23" s="146">
        <f t="shared" si="0"/>
        <v>0</v>
      </c>
      <c r="L23" s="74">
        <v>0</v>
      </c>
      <c r="M23" s="79"/>
      <c r="N23" s="67"/>
    </row>
    <row r="24" spans="1:18" ht="16.5" thickBot="1" x14ac:dyDescent="0.3">
      <c r="A24" s="173"/>
      <c r="B24" s="32" t="s">
        <v>6</v>
      </c>
      <c r="C24" s="74">
        <f t="shared" ref="C24:G24" si="18">SUM(C23)*21</f>
        <v>0</v>
      </c>
      <c r="D24" s="102">
        <f t="shared" ref="D24" si="19">SUM(D23)*21</f>
        <v>0</v>
      </c>
      <c r="E24" s="119"/>
      <c r="F24" s="74">
        <f t="shared" si="18"/>
        <v>0</v>
      </c>
      <c r="G24" s="74">
        <f t="shared" si="18"/>
        <v>0</v>
      </c>
      <c r="H24" s="140">
        <f>SUM(H23)*21</f>
        <v>0</v>
      </c>
      <c r="I24" s="140">
        <f>SUM(I23)*21</f>
        <v>0</v>
      </c>
      <c r="J24" s="140">
        <f>SUM(J23)*21</f>
        <v>0</v>
      </c>
      <c r="K24" s="146">
        <f t="shared" si="0"/>
        <v>0</v>
      </c>
      <c r="L24" s="74">
        <f>SUM(L23)*21</f>
        <v>0</v>
      </c>
      <c r="M24" s="79">
        <f t="shared" ref="M24" si="20">SUM(M23)*21</f>
        <v>0</v>
      </c>
      <c r="N24" s="67"/>
    </row>
    <row r="25" spans="1:18" ht="16.5" thickBot="1" x14ac:dyDescent="0.3">
      <c r="A25" s="162" t="s">
        <v>29</v>
      </c>
      <c r="B25" s="32" t="s">
        <v>15</v>
      </c>
      <c r="C25" s="74"/>
      <c r="D25" s="127"/>
      <c r="E25" s="119"/>
      <c r="F25" s="74"/>
      <c r="G25" s="74"/>
      <c r="H25" s="140"/>
      <c r="I25" s="140"/>
      <c r="J25" s="140"/>
      <c r="K25" s="146">
        <f t="shared" si="0"/>
        <v>0</v>
      </c>
      <c r="L25" s="74"/>
      <c r="M25" s="79"/>
      <c r="N25" s="67"/>
    </row>
    <row r="26" spans="1:18" ht="16.5" thickBot="1" x14ac:dyDescent="0.3">
      <c r="A26" s="173"/>
      <c r="B26" s="32" t="s">
        <v>6</v>
      </c>
      <c r="C26" s="74">
        <f t="shared" ref="C26:G26" si="21">C25*24</f>
        <v>0</v>
      </c>
      <c r="D26" s="102">
        <f t="shared" ref="D26" si="22">D25*24</f>
        <v>0</v>
      </c>
      <c r="E26" s="119">
        <v>0</v>
      </c>
      <c r="F26" s="74">
        <f t="shared" si="21"/>
        <v>0</v>
      </c>
      <c r="G26" s="74">
        <f t="shared" si="21"/>
        <v>0</v>
      </c>
      <c r="H26" s="140">
        <f>H25*24</f>
        <v>0</v>
      </c>
      <c r="I26" s="140">
        <f>I25*24</f>
        <v>0</v>
      </c>
      <c r="J26" s="140">
        <f>J25*24</f>
        <v>0</v>
      </c>
      <c r="K26" s="146">
        <f t="shared" si="0"/>
        <v>0</v>
      </c>
      <c r="L26" s="74">
        <f>L25*24</f>
        <v>0</v>
      </c>
      <c r="M26" s="79">
        <f t="shared" ref="M26" si="23">M25*24</f>
        <v>0</v>
      </c>
      <c r="N26" s="67"/>
      <c r="O26" s="129" t="s">
        <v>67</v>
      </c>
      <c r="Q26" s="170"/>
      <c r="R26" s="170"/>
    </row>
    <row r="27" spans="1:18" ht="16.5" thickBot="1" x14ac:dyDescent="0.3">
      <c r="A27" s="156" t="s">
        <v>34</v>
      </c>
      <c r="B27" s="32" t="s">
        <v>15</v>
      </c>
      <c r="C27" s="74"/>
      <c r="D27" s="102"/>
      <c r="E27" s="119"/>
      <c r="F27" s="74"/>
      <c r="G27" s="74"/>
      <c r="H27" s="140"/>
      <c r="I27" s="140"/>
      <c r="J27" s="140"/>
      <c r="K27" s="146">
        <f t="shared" si="0"/>
        <v>0</v>
      </c>
      <c r="L27" s="74"/>
      <c r="M27" s="79"/>
      <c r="O27" s="162" t="s">
        <v>34</v>
      </c>
      <c r="P27" s="157"/>
      <c r="Q27" s="153"/>
      <c r="R27" s="153"/>
    </row>
    <row r="28" spans="1:18" ht="16.5" thickBot="1" x14ac:dyDescent="0.3">
      <c r="A28" s="156"/>
      <c r="B28" s="32" t="s">
        <v>6</v>
      </c>
      <c r="C28" s="72">
        <f>C27*0.36</f>
        <v>0</v>
      </c>
      <c r="D28" s="102">
        <f>D27*0.36</f>
        <v>0</v>
      </c>
      <c r="E28" s="121">
        <v>0</v>
      </c>
      <c r="F28" s="72">
        <f>F27*0.36</f>
        <v>0</v>
      </c>
      <c r="G28" s="72">
        <f>G27*0.36</f>
        <v>0</v>
      </c>
      <c r="H28" s="140">
        <f>H27*0.36</f>
        <v>0</v>
      </c>
      <c r="I28" s="140">
        <f>I27*0.36</f>
        <v>0</v>
      </c>
      <c r="J28" s="140">
        <f>J27*0.36</f>
        <v>0</v>
      </c>
      <c r="K28" s="146">
        <f t="shared" si="0"/>
        <v>0</v>
      </c>
      <c r="L28" s="74">
        <v>0</v>
      </c>
      <c r="M28" s="113">
        <f>M27*0.36</f>
        <v>0</v>
      </c>
      <c r="O28" s="162"/>
      <c r="P28" s="158"/>
      <c r="Q28" s="20"/>
      <c r="R28" s="20"/>
    </row>
    <row r="29" spans="1:18" ht="16.5" thickBot="1" x14ac:dyDescent="0.3">
      <c r="A29" s="156" t="s">
        <v>33</v>
      </c>
      <c r="B29" s="32" t="s">
        <v>5</v>
      </c>
      <c r="C29" s="74"/>
      <c r="D29" s="102"/>
      <c r="E29" s="119"/>
      <c r="F29" s="74"/>
      <c r="G29" s="74"/>
      <c r="H29" s="140"/>
      <c r="I29" s="140"/>
      <c r="J29" s="140"/>
      <c r="K29" s="146">
        <f t="shared" si="0"/>
        <v>0</v>
      </c>
      <c r="L29" s="74"/>
      <c r="M29" s="79"/>
      <c r="O29" s="162" t="s">
        <v>33</v>
      </c>
      <c r="P29" s="159"/>
      <c r="Q29" s="20"/>
      <c r="R29" s="20"/>
    </row>
    <row r="30" spans="1:18" ht="16.5" thickBot="1" x14ac:dyDescent="0.3">
      <c r="A30" s="156"/>
      <c r="B30" s="32" t="s">
        <v>6</v>
      </c>
      <c r="C30" s="107">
        <f t="shared" ref="C30:G30" si="24">C29*0.36</f>
        <v>0</v>
      </c>
      <c r="D30" s="102">
        <f t="shared" ref="D30" si="25">D29*0.36</f>
        <v>0</v>
      </c>
      <c r="E30" s="122">
        <v>0</v>
      </c>
      <c r="F30" s="107">
        <f t="shared" si="24"/>
        <v>0</v>
      </c>
      <c r="G30" s="107">
        <f t="shared" si="24"/>
        <v>0</v>
      </c>
      <c r="H30" s="140">
        <f>H29*0.36</f>
        <v>0</v>
      </c>
      <c r="I30" s="140">
        <f>I29*0.36</f>
        <v>0</v>
      </c>
      <c r="J30" s="140">
        <f>J29*0.36</f>
        <v>0</v>
      </c>
      <c r="K30" s="146">
        <f t="shared" si="0"/>
        <v>0</v>
      </c>
      <c r="L30" s="98">
        <f>L29*0.36</f>
        <v>0</v>
      </c>
      <c r="M30" s="114">
        <f t="shared" ref="M30" si="26">M29*0.36</f>
        <v>0</v>
      </c>
      <c r="O30" s="162"/>
      <c r="P30" s="158"/>
      <c r="Q30" s="153"/>
      <c r="R30" s="153"/>
    </row>
    <row r="31" spans="1:18" ht="16.5" thickBot="1" x14ac:dyDescent="0.3">
      <c r="A31" s="160" t="s">
        <v>38</v>
      </c>
      <c r="B31" s="99" t="s">
        <v>5</v>
      </c>
      <c r="C31" s="101"/>
      <c r="D31" s="102"/>
      <c r="E31" s="123"/>
      <c r="F31" s="101"/>
      <c r="G31" s="108"/>
      <c r="H31" s="140"/>
      <c r="I31" s="140"/>
      <c r="J31" s="140"/>
      <c r="K31" s="146">
        <f t="shared" si="0"/>
        <v>0</v>
      </c>
      <c r="L31" s="103"/>
      <c r="M31" s="115"/>
    </row>
    <row r="32" spans="1:18" ht="16.5" thickBot="1" x14ac:dyDescent="0.3">
      <c r="A32" s="161"/>
      <c r="B32" s="100" t="s">
        <v>6</v>
      </c>
      <c r="C32" s="101"/>
      <c r="D32" s="102"/>
      <c r="E32" s="123"/>
      <c r="F32" s="101"/>
      <c r="G32" s="108"/>
      <c r="H32" s="140"/>
      <c r="I32" s="140"/>
      <c r="J32" s="140"/>
      <c r="K32" s="146">
        <f t="shared" si="0"/>
        <v>0</v>
      </c>
      <c r="L32" s="104"/>
      <c r="M32" s="115"/>
      <c r="O32" s="129" t="s">
        <v>68</v>
      </c>
    </row>
    <row r="33" spans="1:16" ht="16.5" thickBot="1" x14ac:dyDescent="0.3">
      <c r="A33" s="160" t="s">
        <v>39</v>
      </c>
      <c r="B33" s="99"/>
      <c r="C33" s="101"/>
      <c r="D33" s="102"/>
      <c r="E33" s="123"/>
      <c r="F33" s="101"/>
      <c r="G33" s="108"/>
      <c r="H33" s="140"/>
      <c r="I33" s="140"/>
      <c r="J33" s="140"/>
      <c r="K33" s="146">
        <f t="shared" si="0"/>
        <v>0</v>
      </c>
      <c r="L33" s="104"/>
      <c r="M33" s="115"/>
      <c r="O33" s="156" t="s">
        <v>34</v>
      </c>
      <c r="P33" s="157"/>
    </row>
    <row r="34" spans="1:16" ht="16.5" thickBot="1" x14ac:dyDescent="0.3">
      <c r="A34" s="161"/>
      <c r="B34" s="100" t="s">
        <v>6</v>
      </c>
      <c r="C34" s="101"/>
      <c r="D34" s="102"/>
      <c r="E34" s="123"/>
      <c r="F34" s="101"/>
      <c r="G34" s="108"/>
      <c r="H34" s="140"/>
      <c r="I34" s="140"/>
      <c r="J34" s="140"/>
      <c r="K34" s="146">
        <f t="shared" si="0"/>
        <v>0</v>
      </c>
      <c r="L34" s="104"/>
      <c r="M34" s="115"/>
      <c r="O34" s="156"/>
      <c r="P34" s="158"/>
    </row>
    <row r="35" spans="1:16" ht="16.5" thickBot="1" x14ac:dyDescent="0.3">
      <c r="A35" s="160" t="s">
        <v>40</v>
      </c>
      <c r="B35" s="99" t="s">
        <v>5</v>
      </c>
      <c r="C35" s="101"/>
      <c r="D35" s="102"/>
      <c r="E35" s="123"/>
      <c r="F35" s="101"/>
      <c r="G35" s="108"/>
      <c r="H35" s="140"/>
      <c r="I35" s="140"/>
      <c r="J35" s="140"/>
      <c r="K35" s="146">
        <f t="shared" si="0"/>
        <v>0</v>
      </c>
      <c r="L35" s="104"/>
      <c r="M35" s="115"/>
      <c r="O35" s="156" t="s">
        <v>33</v>
      </c>
      <c r="P35" s="159"/>
    </row>
    <row r="36" spans="1:16" ht="16.5" thickBot="1" x14ac:dyDescent="0.3">
      <c r="A36" s="161"/>
      <c r="B36" s="100" t="s">
        <v>6</v>
      </c>
      <c r="C36" s="101"/>
      <c r="D36" s="102"/>
      <c r="E36" s="123"/>
      <c r="F36" s="101"/>
      <c r="G36" s="108"/>
      <c r="H36" s="140"/>
      <c r="I36" s="140"/>
      <c r="J36" s="140"/>
      <c r="K36" s="146">
        <f t="shared" si="0"/>
        <v>0</v>
      </c>
      <c r="L36" s="104"/>
      <c r="M36" s="115"/>
      <c r="O36" s="156"/>
      <c r="P36" s="158"/>
    </row>
    <row r="37" spans="1:16" ht="16.5" thickBot="1" x14ac:dyDescent="0.3">
      <c r="A37" s="160" t="s">
        <v>41</v>
      </c>
      <c r="B37" s="99" t="s">
        <v>5</v>
      </c>
      <c r="C37" s="101"/>
      <c r="D37" s="102"/>
      <c r="E37" s="123"/>
      <c r="F37" s="101"/>
      <c r="G37" s="108"/>
      <c r="H37" s="140"/>
      <c r="I37" s="140"/>
      <c r="J37" s="140"/>
      <c r="K37" s="146">
        <f t="shared" si="0"/>
        <v>0</v>
      </c>
      <c r="L37" s="104"/>
      <c r="M37" s="115"/>
    </row>
    <row r="38" spans="1:16" ht="16.5" thickBot="1" x14ac:dyDescent="0.3">
      <c r="A38" s="161"/>
      <c r="B38" s="100" t="s">
        <v>6</v>
      </c>
      <c r="C38" s="101"/>
      <c r="D38" s="102"/>
      <c r="E38" s="123"/>
      <c r="F38" s="101"/>
      <c r="G38" s="108"/>
      <c r="H38" s="140"/>
      <c r="I38" s="140"/>
      <c r="J38" s="140"/>
      <c r="K38" s="146">
        <f t="shared" si="0"/>
        <v>0</v>
      </c>
      <c r="L38" s="104"/>
      <c r="M38" s="115"/>
    </row>
    <row r="39" spans="1:16" ht="16.5" thickBot="1" x14ac:dyDescent="0.3">
      <c r="A39" s="160" t="s">
        <v>42</v>
      </c>
      <c r="B39" s="99" t="s">
        <v>5</v>
      </c>
      <c r="C39" s="101"/>
      <c r="D39" s="102"/>
      <c r="E39" s="123"/>
      <c r="F39" s="101"/>
      <c r="G39" s="108"/>
      <c r="H39" s="140"/>
      <c r="I39" s="140"/>
      <c r="J39" s="140"/>
      <c r="K39" s="146">
        <f t="shared" si="0"/>
        <v>0</v>
      </c>
      <c r="L39" s="104"/>
      <c r="M39" s="115"/>
      <c r="O39" s="83"/>
    </row>
    <row r="40" spans="1:16" ht="16.5" thickBot="1" x14ac:dyDescent="0.3">
      <c r="A40" s="161"/>
      <c r="B40" s="100" t="s">
        <v>6</v>
      </c>
      <c r="C40" s="101"/>
      <c r="D40" s="102"/>
      <c r="E40" s="123"/>
      <c r="F40" s="101"/>
      <c r="G40" s="108"/>
      <c r="H40" s="140"/>
      <c r="I40" s="140"/>
      <c r="J40" s="140"/>
      <c r="K40" s="146">
        <f t="shared" si="0"/>
        <v>0</v>
      </c>
      <c r="L40" s="104"/>
      <c r="M40" s="115"/>
    </row>
    <row r="41" spans="1:16" ht="16.5" thickBot="1" x14ac:dyDescent="0.3">
      <c r="A41" s="160" t="s">
        <v>43</v>
      </c>
      <c r="B41" s="99" t="s">
        <v>5</v>
      </c>
      <c r="C41" s="101"/>
      <c r="D41" s="102"/>
      <c r="E41" s="123"/>
      <c r="F41" s="101"/>
      <c r="G41" s="108"/>
      <c r="H41" s="140"/>
      <c r="I41" s="140"/>
      <c r="J41" s="140"/>
      <c r="K41" s="146">
        <f t="shared" si="0"/>
        <v>0</v>
      </c>
      <c r="L41" s="104"/>
      <c r="M41" s="115"/>
    </row>
    <row r="42" spans="1:16" ht="16.5" thickBot="1" x14ac:dyDescent="0.3">
      <c r="A42" s="161"/>
      <c r="B42" s="100" t="s">
        <v>6</v>
      </c>
      <c r="C42" s="101"/>
      <c r="D42" s="102"/>
      <c r="E42" s="123"/>
      <c r="F42" s="101"/>
      <c r="G42" s="108"/>
      <c r="H42" s="140"/>
      <c r="I42" s="140"/>
      <c r="J42" s="140"/>
      <c r="K42" s="146">
        <f t="shared" si="0"/>
        <v>0</v>
      </c>
      <c r="L42" s="104"/>
      <c r="M42" s="115"/>
    </row>
    <row r="43" spans="1:16" ht="16.5" thickBot="1" x14ac:dyDescent="0.3">
      <c r="A43" s="160" t="s">
        <v>44</v>
      </c>
      <c r="B43" s="99" t="s">
        <v>5</v>
      </c>
      <c r="C43" s="101"/>
      <c r="D43" s="102"/>
      <c r="E43" s="123"/>
      <c r="F43" s="101"/>
      <c r="G43" s="108"/>
      <c r="H43" s="140"/>
      <c r="I43" s="140"/>
      <c r="J43" s="140"/>
      <c r="K43" s="146">
        <f t="shared" si="0"/>
        <v>0</v>
      </c>
      <c r="L43" s="104"/>
      <c r="M43" s="115"/>
    </row>
    <row r="44" spans="1:16" ht="16.5" thickBot="1" x14ac:dyDescent="0.3">
      <c r="A44" s="161"/>
      <c r="B44" s="100" t="s">
        <v>6</v>
      </c>
      <c r="C44" s="101"/>
      <c r="D44" s="102"/>
      <c r="E44" s="123"/>
      <c r="F44" s="101"/>
      <c r="G44" s="108"/>
      <c r="H44" s="140"/>
      <c r="I44" s="140"/>
      <c r="J44" s="140"/>
      <c r="K44" s="146">
        <f t="shared" si="0"/>
        <v>0</v>
      </c>
      <c r="L44" s="104"/>
      <c r="M44" s="115"/>
    </row>
    <row r="45" spans="1:16" ht="16.5" thickBot="1" x14ac:dyDescent="0.3">
      <c r="A45" s="160" t="s">
        <v>45</v>
      </c>
      <c r="B45" s="99" t="s">
        <v>5</v>
      </c>
      <c r="C45" s="101"/>
      <c r="D45" s="102"/>
      <c r="E45" s="123"/>
      <c r="F45" s="101"/>
      <c r="G45" s="108"/>
      <c r="H45" s="140"/>
      <c r="I45" s="140"/>
      <c r="J45" s="140"/>
      <c r="K45" s="146">
        <f t="shared" si="0"/>
        <v>0</v>
      </c>
      <c r="L45" s="104"/>
      <c r="M45" s="115"/>
    </row>
    <row r="46" spans="1:16" ht="16.5" thickBot="1" x14ac:dyDescent="0.3">
      <c r="A46" s="161"/>
      <c r="B46" s="100" t="s">
        <v>6</v>
      </c>
      <c r="C46" s="101"/>
      <c r="D46" s="102"/>
      <c r="E46" s="123"/>
      <c r="F46" s="101"/>
      <c r="G46" s="108"/>
      <c r="H46" s="140"/>
      <c r="I46" s="140"/>
      <c r="J46" s="140"/>
      <c r="K46" s="146">
        <f t="shared" si="0"/>
        <v>0</v>
      </c>
      <c r="L46" s="104"/>
      <c r="M46" s="115"/>
    </row>
    <row r="47" spans="1:16" ht="16.5" thickBot="1" x14ac:dyDescent="0.3">
      <c r="A47" s="160" t="s">
        <v>46</v>
      </c>
      <c r="B47" s="99" t="s">
        <v>5</v>
      </c>
      <c r="C47" s="101"/>
      <c r="D47" s="102"/>
      <c r="E47" s="123"/>
      <c r="F47" s="101"/>
      <c r="G47" s="108"/>
      <c r="H47" s="140"/>
      <c r="I47" s="140"/>
      <c r="J47" s="140"/>
      <c r="K47" s="146">
        <f t="shared" si="0"/>
        <v>0</v>
      </c>
      <c r="L47" s="104"/>
      <c r="M47" s="115"/>
    </row>
    <row r="48" spans="1:16" ht="16.5" thickBot="1" x14ac:dyDescent="0.3">
      <c r="A48" s="161"/>
      <c r="B48" s="100" t="s">
        <v>6</v>
      </c>
      <c r="C48" s="101"/>
      <c r="D48" s="102"/>
      <c r="E48" s="123"/>
      <c r="F48" s="101"/>
      <c r="G48" s="108"/>
      <c r="H48" s="140"/>
      <c r="I48" s="140"/>
      <c r="J48" s="140"/>
      <c r="K48" s="146">
        <f t="shared" si="0"/>
        <v>0</v>
      </c>
      <c r="L48" s="104"/>
      <c r="M48" s="115"/>
    </row>
    <row r="49" spans="1:13" ht="16.5" thickBot="1" x14ac:dyDescent="0.3">
      <c r="A49" s="160" t="s">
        <v>47</v>
      </c>
      <c r="B49" s="99" t="s">
        <v>5</v>
      </c>
      <c r="C49" s="101"/>
      <c r="D49" s="102"/>
      <c r="E49" s="123"/>
      <c r="F49" s="101"/>
      <c r="G49" s="108"/>
      <c r="H49" s="140"/>
      <c r="I49" s="140"/>
      <c r="J49" s="140"/>
      <c r="K49" s="146">
        <f t="shared" si="0"/>
        <v>0</v>
      </c>
      <c r="L49" s="104"/>
      <c r="M49" s="115"/>
    </row>
    <row r="50" spans="1:13" ht="16.5" thickBot="1" x14ac:dyDescent="0.3">
      <c r="A50" s="161"/>
      <c r="B50" s="100" t="s">
        <v>6</v>
      </c>
      <c r="C50" s="101"/>
      <c r="D50" s="102"/>
      <c r="E50" s="123"/>
      <c r="F50" s="101"/>
      <c r="G50" s="108"/>
      <c r="H50" s="140"/>
      <c r="I50" s="140"/>
      <c r="J50" s="140"/>
      <c r="K50" s="146">
        <f t="shared" si="0"/>
        <v>0</v>
      </c>
      <c r="L50" s="104"/>
      <c r="M50" s="115"/>
    </row>
    <row r="51" spans="1:13" ht="16.5" thickBot="1" x14ac:dyDescent="0.3">
      <c r="A51" s="160" t="s">
        <v>48</v>
      </c>
      <c r="B51" s="99" t="s">
        <v>5</v>
      </c>
      <c r="C51" s="101"/>
      <c r="D51" s="102"/>
      <c r="E51" s="123"/>
      <c r="F51" s="101"/>
      <c r="G51" s="108"/>
      <c r="H51" s="140"/>
      <c r="I51" s="140"/>
      <c r="J51" s="140"/>
      <c r="K51" s="146">
        <f t="shared" si="0"/>
        <v>0</v>
      </c>
      <c r="L51" s="104"/>
      <c r="M51" s="115"/>
    </row>
    <row r="52" spans="1:13" ht="16.5" thickBot="1" x14ac:dyDescent="0.3">
      <c r="A52" s="161"/>
      <c r="B52" s="100" t="s">
        <v>6</v>
      </c>
      <c r="C52" s="101"/>
      <c r="D52" s="102"/>
      <c r="E52" s="123"/>
      <c r="F52" s="101"/>
      <c r="G52" s="108"/>
      <c r="H52" s="140"/>
      <c r="I52" s="140"/>
      <c r="J52" s="140"/>
      <c r="K52" s="146">
        <f t="shared" si="0"/>
        <v>0</v>
      </c>
      <c r="L52" s="104"/>
      <c r="M52" s="115"/>
    </row>
    <row r="53" spans="1:13" ht="16.5" thickBot="1" x14ac:dyDescent="0.3">
      <c r="A53" s="160" t="s">
        <v>49</v>
      </c>
      <c r="B53" s="99" t="s">
        <v>5</v>
      </c>
      <c r="C53" s="101"/>
      <c r="D53" s="102"/>
      <c r="E53" s="123"/>
      <c r="F53" s="101"/>
      <c r="G53" s="108"/>
      <c r="H53" s="140"/>
      <c r="I53" s="140"/>
      <c r="J53" s="140"/>
      <c r="K53" s="146">
        <f t="shared" si="0"/>
        <v>0</v>
      </c>
      <c r="L53" s="104"/>
      <c r="M53" s="115"/>
    </row>
    <row r="54" spans="1:13" ht="16.5" thickBot="1" x14ac:dyDescent="0.3">
      <c r="A54" s="161"/>
      <c r="B54" s="100" t="s">
        <v>6</v>
      </c>
      <c r="C54" s="101"/>
      <c r="D54" s="102"/>
      <c r="E54" s="123"/>
      <c r="F54" s="101"/>
      <c r="G54" s="108"/>
      <c r="H54" s="140"/>
      <c r="I54" s="140"/>
      <c r="J54" s="140"/>
      <c r="K54" s="146">
        <f t="shared" si="0"/>
        <v>0</v>
      </c>
      <c r="L54" s="104"/>
      <c r="M54" s="115"/>
    </row>
    <row r="55" spans="1:13" ht="16.5" thickBot="1" x14ac:dyDescent="0.3">
      <c r="A55" s="160" t="s">
        <v>50</v>
      </c>
      <c r="B55" s="99" t="s">
        <v>5</v>
      </c>
      <c r="C55" s="101"/>
      <c r="D55" s="102"/>
      <c r="E55" s="123"/>
      <c r="F55" s="101"/>
      <c r="G55" s="108"/>
      <c r="H55" s="140"/>
      <c r="I55" s="140"/>
      <c r="J55" s="140"/>
      <c r="K55" s="146">
        <f t="shared" si="0"/>
        <v>0</v>
      </c>
      <c r="L55" s="104"/>
      <c r="M55" s="115"/>
    </row>
    <row r="56" spans="1:13" ht="16.5" thickBot="1" x14ac:dyDescent="0.3">
      <c r="A56" s="161"/>
      <c r="B56" s="100" t="s">
        <v>6</v>
      </c>
      <c r="C56" s="101"/>
      <c r="D56" s="102"/>
      <c r="E56" s="123"/>
      <c r="F56" s="101"/>
      <c r="G56" s="108"/>
      <c r="H56" s="140"/>
      <c r="I56" s="140"/>
      <c r="J56" s="140"/>
      <c r="K56" s="146">
        <f t="shared" si="0"/>
        <v>0</v>
      </c>
      <c r="L56" s="104"/>
      <c r="M56" s="115"/>
    </row>
    <row r="57" spans="1:13" ht="16.5" thickBot="1" x14ac:dyDescent="0.3">
      <c r="A57" s="160" t="s">
        <v>51</v>
      </c>
      <c r="B57" s="99" t="s">
        <v>5</v>
      </c>
      <c r="C57" s="101"/>
      <c r="D57" s="102"/>
      <c r="E57" s="123"/>
      <c r="F57" s="101"/>
      <c r="G57" s="108"/>
      <c r="H57" s="140"/>
      <c r="I57" s="140"/>
      <c r="J57" s="140"/>
      <c r="K57" s="146">
        <f t="shared" si="0"/>
        <v>0</v>
      </c>
      <c r="L57" s="104"/>
      <c r="M57" s="115"/>
    </row>
    <row r="58" spans="1:13" ht="16.5" thickBot="1" x14ac:dyDescent="0.3">
      <c r="A58" s="161"/>
      <c r="B58" s="100" t="s">
        <v>6</v>
      </c>
      <c r="C58" s="101"/>
      <c r="D58" s="102"/>
      <c r="E58" s="123"/>
      <c r="F58" s="101"/>
      <c r="G58" s="108"/>
      <c r="H58" s="140"/>
      <c r="I58" s="140"/>
      <c r="J58" s="140"/>
      <c r="K58" s="146">
        <f t="shared" si="0"/>
        <v>0</v>
      </c>
      <c r="L58" s="104"/>
      <c r="M58" s="115"/>
    </row>
    <row r="59" spans="1:13" ht="16.5" thickBot="1" x14ac:dyDescent="0.3">
      <c r="A59" s="160" t="s">
        <v>52</v>
      </c>
      <c r="B59" s="99" t="s">
        <v>5</v>
      </c>
      <c r="C59" s="101"/>
      <c r="D59" s="102"/>
      <c r="E59" s="123"/>
      <c r="F59" s="101"/>
      <c r="G59" s="108"/>
      <c r="H59" s="140"/>
      <c r="I59" s="140"/>
      <c r="J59" s="140"/>
      <c r="K59" s="146">
        <f t="shared" si="0"/>
        <v>0</v>
      </c>
      <c r="L59" s="104"/>
      <c r="M59" s="115"/>
    </row>
    <row r="60" spans="1:13" ht="16.5" thickBot="1" x14ac:dyDescent="0.3">
      <c r="A60" s="161"/>
      <c r="B60" s="100" t="s">
        <v>6</v>
      </c>
      <c r="C60" s="101"/>
      <c r="D60" s="102"/>
      <c r="E60" s="123"/>
      <c r="F60" s="101"/>
      <c r="G60" s="108"/>
      <c r="H60" s="140"/>
      <c r="I60" s="140"/>
      <c r="J60" s="140"/>
      <c r="K60" s="146">
        <f t="shared" si="0"/>
        <v>0</v>
      </c>
      <c r="L60" s="104"/>
      <c r="M60" s="115"/>
    </row>
    <row r="61" spans="1:13" ht="16.5" thickBot="1" x14ac:dyDescent="0.3">
      <c r="A61" s="160" t="s">
        <v>53</v>
      </c>
      <c r="B61" s="99" t="s">
        <v>5</v>
      </c>
      <c r="C61" s="101"/>
      <c r="D61" s="102"/>
      <c r="E61" s="123"/>
      <c r="F61" s="101"/>
      <c r="G61" s="108"/>
      <c r="H61" s="140"/>
      <c r="I61" s="140"/>
      <c r="J61" s="140"/>
      <c r="K61" s="146">
        <f t="shared" si="0"/>
        <v>0</v>
      </c>
      <c r="L61" s="104"/>
      <c r="M61" s="115"/>
    </row>
    <row r="62" spans="1:13" ht="16.5" thickBot="1" x14ac:dyDescent="0.3">
      <c r="A62" s="161"/>
      <c r="B62" s="100" t="s">
        <v>6</v>
      </c>
      <c r="C62" s="101"/>
      <c r="D62" s="102"/>
      <c r="E62" s="123"/>
      <c r="F62" s="101"/>
      <c r="G62" s="108"/>
      <c r="H62" s="140"/>
      <c r="I62" s="140"/>
      <c r="J62" s="140"/>
      <c r="K62" s="146">
        <f t="shared" si="0"/>
        <v>0</v>
      </c>
      <c r="L62" s="104"/>
      <c r="M62" s="115"/>
    </row>
    <row r="63" spans="1:13" ht="16.5" thickBot="1" x14ac:dyDescent="0.3">
      <c r="A63" s="160" t="s">
        <v>54</v>
      </c>
      <c r="B63" s="99" t="s">
        <v>5</v>
      </c>
      <c r="C63" s="101"/>
      <c r="D63" s="102"/>
      <c r="E63" s="123"/>
      <c r="F63" s="101"/>
      <c r="G63" s="108"/>
      <c r="H63" s="140"/>
      <c r="I63" s="140"/>
      <c r="J63" s="140"/>
      <c r="K63" s="146">
        <f t="shared" si="0"/>
        <v>0</v>
      </c>
      <c r="L63" s="104"/>
      <c r="M63" s="115"/>
    </row>
    <row r="64" spans="1:13" ht="16.5" thickBot="1" x14ac:dyDescent="0.3">
      <c r="A64" s="161"/>
      <c r="B64" s="100" t="s">
        <v>6</v>
      </c>
      <c r="C64" s="101"/>
      <c r="D64" s="102"/>
      <c r="E64" s="123"/>
      <c r="F64" s="101"/>
      <c r="G64" s="108"/>
      <c r="H64" s="140"/>
      <c r="I64" s="140"/>
      <c r="J64" s="140"/>
      <c r="K64" s="146">
        <f t="shared" si="0"/>
        <v>0</v>
      </c>
      <c r="L64" s="104"/>
      <c r="M64" s="115"/>
    </row>
    <row r="65" spans="1:13" ht="16.5" thickBot="1" x14ac:dyDescent="0.3">
      <c r="A65" s="160" t="s">
        <v>55</v>
      </c>
      <c r="B65" s="99" t="s">
        <v>5</v>
      </c>
      <c r="C65" s="101"/>
      <c r="D65" s="102"/>
      <c r="E65" s="123"/>
      <c r="F65" s="101"/>
      <c r="G65" s="108"/>
      <c r="H65" s="140"/>
      <c r="I65" s="140"/>
      <c r="J65" s="140"/>
      <c r="K65" s="146">
        <f t="shared" si="0"/>
        <v>0</v>
      </c>
      <c r="L65" s="104"/>
      <c r="M65" s="115"/>
    </row>
    <row r="66" spans="1:13" ht="16.5" thickBot="1" x14ac:dyDescent="0.3">
      <c r="A66" s="161"/>
      <c r="B66" s="100" t="s">
        <v>6</v>
      </c>
      <c r="C66" s="101"/>
      <c r="D66" s="102"/>
      <c r="E66" s="123"/>
      <c r="F66" s="101"/>
      <c r="G66" s="108"/>
      <c r="H66" s="140"/>
      <c r="I66" s="140"/>
      <c r="J66" s="140"/>
      <c r="K66" s="146">
        <f t="shared" si="0"/>
        <v>0</v>
      </c>
      <c r="L66" s="104"/>
      <c r="M66" s="115"/>
    </row>
    <row r="67" spans="1:13" ht="16.5" thickBot="1" x14ac:dyDescent="0.3">
      <c r="A67" s="160" t="s">
        <v>56</v>
      </c>
      <c r="B67" s="99" t="s">
        <v>5</v>
      </c>
      <c r="C67" s="101"/>
      <c r="D67" s="102"/>
      <c r="E67" s="123"/>
      <c r="F67" s="101"/>
      <c r="G67" s="108"/>
      <c r="H67" s="140"/>
      <c r="I67" s="140"/>
      <c r="J67" s="140"/>
      <c r="K67" s="146">
        <f t="shared" ref="K67:K93" si="27">SUM(C67+D67+E67+F67+G67+H67+I67+J67)</f>
        <v>0</v>
      </c>
      <c r="L67" s="104"/>
      <c r="M67" s="115"/>
    </row>
    <row r="68" spans="1:13" ht="16.5" thickBot="1" x14ac:dyDescent="0.3">
      <c r="A68" s="161"/>
      <c r="B68" s="100" t="s">
        <v>6</v>
      </c>
      <c r="C68" s="101"/>
      <c r="D68" s="102"/>
      <c r="E68" s="123"/>
      <c r="F68" s="101"/>
      <c r="G68" s="108"/>
      <c r="H68" s="140"/>
      <c r="I68" s="140"/>
      <c r="J68" s="140"/>
      <c r="K68" s="146">
        <f t="shared" si="27"/>
        <v>0</v>
      </c>
      <c r="L68" s="104"/>
      <c r="M68" s="115"/>
    </row>
    <row r="69" spans="1:13" ht="16.5" thickBot="1" x14ac:dyDescent="0.3">
      <c r="A69" s="160" t="s">
        <v>57</v>
      </c>
      <c r="B69" s="99" t="s">
        <v>5</v>
      </c>
      <c r="C69" s="101"/>
      <c r="D69" s="102"/>
      <c r="E69" s="123"/>
      <c r="F69" s="101"/>
      <c r="G69" s="108"/>
      <c r="H69" s="140"/>
      <c r="I69" s="140"/>
      <c r="J69" s="140"/>
      <c r="K69" s="146">
        <f t="shared" si="27"/>
        <v>0</v>
      </c>
      <c r="L69" s="104"/>
      <c r="M69" s="115"/>
    </row>
    <row r="70" spans="1:13" ht="16.5" thickBot="1" x14ac:dyDescent="0.3">
      <c r="A70" s="161"/>
      <c r="B70" s="100" t="s">
        <v>6</v>
      </c>
      <c r="C70" s="101"/>
      <c r="D70" s="102"/>
      <c r="E70" s="123"/>
      <c r="F70" s="101"/>
      <c r="G70" s="108"/>
      <c r="H70" s="140"/>
      <c r="I70" s="140"/>
      <c r="J70" s="140"/>
      <c r="K70" s="146">
        <f t="shared" si="27"/>
        <v>0</v>
      </c>
      <c r="L70" s="104"/>
      <c r="M70" s="115"/>
    </row>
    <row r="71" spans="1:13" ht="16.5" thickBot="1" x14ac:dyDescent="0.3">
      <c r="A71" s="160" t="s">
        <v>58</v>
      </c>
      <c r="B71" s="99" t="s">
        <v>5</v>
      </c>
      <c r="C71" s="101"/>
      <c r="D71" s="102"/>
      <c r="E71" s="123"/>
      <c r="F71" s="101"/>
      <c r="G71" s="108"/>
      <c r="H71" s="140"/>
      <c r="I71" s="140"/>
      <c r="J71" s="140"/>
      <c r="K71" s="146">
        <f t="shared" si="27"/>
        <v>0</v>
      </c>
      <c r="L71" s="104"/>
      <c r="M71" s="115"/>
    </row>
    <row r="72" spans="1:13" ht="16.5" thickBot="1" x14ac:dyDescent="0.3">
      <c r="A72" s="161"/>
      <c r="B72" s="100" t="s">
        <v>6</v>
      </c>
      <c r="C72" s="101"/>
      <c r="D72" s="102"/>
      <c r="E72" s="123"/>
      <c r="F72" s="101"/>
      <c r="G72" s="108"/>
      <c r="H72" s="140"/>
      <c r="I72" s="140"/>
      <c r="J72" s="140"/>
      <c r="K72" s="146">
        <f t="shared" si="27"/>
        <v>0</v>
      </c>
      <c r="L72" s="104"/>
      <c r="M72" s="115"/>
    </row>
    <row r="73" spans="1:13" ht="16.5" thickBot="1" x14ac:dyDescent="0.3">
      <c r="A73" s="160" t="s">
        <v>59</v>
      </c>
      <c r="B73" s="99" t="s">
        <v>5</v>
      </c>
      <c r="C73" s="101"/>
      <c r="D73" s="102"/>
      <c r="E73" s="123"/>
      <c r="F73" s="101"/>
      <c r="G73" s="108"/>
      <c r="H73" s="140"/>
      <c r="I73" s="140"/>
      <c r="J73" s="140"/>
      <c r="K73" s="146">
        <f t="shared" si="27"/>
        <v>0</v>
      </c>
      <c r="L73" s="104"/>
      <c r="M73" s="115"/>
    </row>
    <row r="74" spans="1:13" ht="16.5" thickBot="1" x14ac:dyDescent="0.3">
      <c r="A74" s="161"/>
      <c r="B74" s="100" t="s">
        <v>6</v>
      </c>
      <c r="C74" s="101"/>
      <c r="D74" s="102"/>
      <c r="E74" s="123"/>
      <c r="F74" s="101"/>
      <c r="G74" s="108"/>
      <c r="H74" s="140"/>
      <c r="I74" s="140"/>
      <c r="J74" s="140"/>
      <c r="K74" s="146">
        <f t="shared" si="27"/>
        <v>0</v>
      </c>
      <c r="L74" s="104"/>
      <c r="M74" s="115"/>
    </row>
    <row r="75" spans="1:13" ht="16.5" thickBot="1" x14ac:dyDescent="0.3">
      <c r="A75" s="160" t="s">
        <v>60</v>
      </c>
      <c r="B75" s="99" t="s">
        <v>5</v>
      </c>
      <c r="C75" s="101"/>
      <c r="D75" s="102"/>
      <c r="E75" s="123"/>
      <c r="F75" s="101"/>
      <c r="G75" s="108"/>
      <c r="H75" s="140"/>
      <c r="I75" s="140"/>
      <c r="J75" s="140"/>
      <c r="K75" s="146">
        <f t="shared" si="27"/>
        <v>0</v>
      </c>
      <c r="L75" s="104"/>
      <c r="M75" s="115"/>
    </row>
    <row r="76" spans="1:13" ht="16.5" thickBot="1" x14ac:dyDescent="0.3">
      <c r="A76" s="161"/>
      <c r="B76" s="100" t="s">
        <v>6</v>
      </c>
      <c r="C76" s="101"/>
      <c r="D76" s="102"/>
      <c r="E76" s="123"/>
      <c r="F76" s="101"/>
      <c r="G76" s="108"/>
      <c r="H76" s="140"/>
      <c r="I76" s="140"/>
      <c r="J76" s="140"/>
      <c r="K76" s="146">
        <f t="shared" si="27"/>
        <v>0</v>
      </c>
      <c r="L76" s="104"/>
      <c r="M76" s="115"/>
    </row>
    <row r="77" spans="1:13" ht="16.5" thickBot="1" x14ac:dyDescent="0.3">
      <c r="A77" s="160" t="s">
        <v>61</v>
      </c>
      <c r="B77" s="99" t="s">
        <v>5</v>
      </c>
      <c r="C77" s="101"/>
      <c r="D77" s="102"/>
      <c r="E77" s="123"/>
      <c r="F77" s="101"/>
      <c r="G77" s="108"/>
      <c r="H77" s="140"/>
      <c r="I77" s="140"/>
      <c r="J77" s="140"/>
      <c r="K77" s="146">
        <f t="shared" si="27"/>
        <v>0</v>
      </c>
      <c r="L77" s="104"/>
      <c r="M77" s="115"/>
    </row>
    <row r="78" spans="1:13" ht="16.5" thickBot="1" x14ac:dyDescent="0.3">
      <c r="A78" s="161"/>
      <c r="B78" s="100" t="s">
        <v>6</v>
      </c>
      <c r="C78" s="101"/>
      <c r="D78" s="102"/>
      <c r="E78" s="123"/>
      <c r="F78" s="101"/>
      <c r="G78" s="108"/>
      <c r="H78" s="140"/>
      <c r="I78" s="140"/>
      <c r="J78" s="140"/>
      <c r="K78" s="146">
        <f t="shared" si="27"/>
        <v>0</v>
      </c>
      <c r="L78" s="104"/>
      <c r="M78" s="115"/>
    </row>
    <row r="79" spans="1:13" ht="16.5" thickBot="1" x14ac:dyDescent="0.3">
      <c r="A79" s="160" t="s">
        <v>62</v>
      </c>
      <c r="B79" s="99" t="s">
        <v>5</v>
      </c>
      <c r="C79" s="101"/>
      <c r="D79" s="102"/>
      <c r="E79" s="123"/>
      <c r="F79" s="101"/>
      <c r="G79" s="108"/>
      <c r="H79" s="140"/>
      <c r="I79" s="140"/>
      <c r="J79" s="140"/>
      <c r="K79" s="146">
        <f t="shared" si="27"/>
        <v>0</v>
      </c>
      <c r="L79" s="104"/>
      <c r="M79" s="115"/>
    </row>
    <row r="80" spans="1:13" ht="16.5" thickBot="1" x14ac:dyDescent="0.3">
      <c r="A80" s="161"/>
      <c r="B80" s="100" t="s">
        <v>6</v>
      </c>
      <c r="C80" s="101"/>
      <c r="D80" s="102"/>
      <c r="E80" s="123"/>
      <c r="F80" s="101"/>
      <c r="G80" s="108"/>
      <c r="H80" s="140"/>
      <c r="I80" s="140"/>
      <c r="J80" s="140"/>
      <c r="K80" s="146">
        <f t="shared" si="27"/>
        <v>0</v>
      </c>
      <c r="L80" s="104"/>
      <c r="M80" s="115"/>
    </row>
    <row r="81" spans="1:14" ht="16.5" thickBot="1" x14ac:dyDescent="0.3">
      <c r="A81" s="160" t="s">
        <v>63</v>
      </c>
      <c r="B81" s="99" t="s">
        <v>5</v>
      </c>
      <c r="C81" s="101"/>
      <c r="D81" s="102"/>
      <c r="E81" s="123"/>
      <c r="F81" s="101"/>
      <c r="G81" s="108"/>
      <c r="H81" s="140"/>
      <c r="I81" s="140"/>
      <c r="J81" s="140"/>
      <c r="K81" s="146">
        <f t="shared" si="27"/>
        <v>0</v>
      </c>
      <c r="L81" s="104"/>
      <c r="M81" s="115"/>
    </row>
    <row r="82" spans="1:14" ht="16.5" thickBot="1" x14ac:dyDescent="0.3">
      <c r="A82" s="161"/>
      <c r="B82" s="100" t="s">
        <v>6</v>
      </c>
      <c r="C82" s="101"/>
      <c r="D82" s="102"/>
      <c r="E82" s="123"/>
      <c r="F82" s="101"/>
      <c r="G82" s="108"/>
      <c r="H82" s="140"/>
      <c r="I82" s="140"/>
      <c r="J82" s="140"/>
      <c r="K82" s="146">
        <f t="shared" si="27"/>
        <v>0</v>
      </c>
      <c r="L82" s="104"/>
      <c r="M82" s="115"/>
    </row>
    <row r="83" spans="1:14" ht="16.5" thickBot="1" x14ac:dyDescent="0.3">
      <c r="A83" s="160" t="s">
        <v>64</v>
      </c>
      <c r="B83" s="99" t="s">
        <v>5</v>
      </c>
      <c r="C83" s="101"/>
      <c r="D83" s="102"/>
      <c r="E83" s="123"/>
      <c r="F83" s="101"/>
      <c r="G83" s="108"/>
      <c r="H83" s="140"/>
      <c r="I83" s="140"/>
      <c r="J83" s="140"/>
      <c r="K83" s="146">
        <f t="shared" si="27"/>
        <v>0</v>
      </c>
      <c r="L83" s="104"/>
      <c r="M83" s="115"/>
    </row>
    <row r="84" spans="1:14" ht="16.5" thickBot="1" x14ac:dyDescent="0.3">
      <c r="A84" s="161"/>
      <c r="B84" s="100" t="s">
        <v>6</v>
      </c>
      <c r="C84" s="101"/>
      <c r="D84" s="102"/>
      <c r="E84" s="123"/>
      <c r="F84" s="101"/>
      <c r="G84" s="108"/>
      <c r="H84" s="140"/>
      <c r="I84" s="140"/>
      <c r="J84" s="140"/>
      <c r="K84" s="146">
        <f t="shared" si="27"/>
        <v>0</v>
      </c>
      <c r="L84" s="104"/>
      <c r="M84" s="115"/>
    </row>
    <row r="85" spans="1:14" ht="16.5" thickBot="1" x14ac:dyDescent="0.3">
      <c r="A85" s="160" t="s">
        <v>65</v>
      </c>
      <c r="B85" s="99" t="s">
        <v>5</v>
      </c>
      <c r="C85" s="101"/>
      <c r="D85" s="102"/>
      <c r="E85" s="123"/>
      <c r="F85" s="101"/>
      <c r="G85" s="108"/>
      <c r="H85" s="140"/>
      <c r="I85" s="140"/>
      <c r="J85" s="140"/>
      <c r="K85" s="146">
        <f t="shared" si="27"/>
        <v>0</v>
      </c>
      <c r="L85" s="104"/>
      <c r="M85" s="115"/>
    </row>
    <row r="86" spans="1:14" ht="16.5" thickBot="1" x14ac:dyDescent="0.3">
      <c r="A86" s="161"/>
      <c r="B86" s="100" t="s">
        <v>6</v>
      </c>
      <c r="C86" s="101"/>
      <c r="D86" s="102"/>
      <c r="E86" s="123"/>
      <c r="F86" s="101"/>
      <c r="G86" s="108"/>
      <c r="H86" s="140"/>
      <c r="I86" s="140"/>
      <c r="J86" s="140"/>
      <c r="K86" s="146">
        <f t="shared" si="27"/>
        <v>0</v>
      </c>
      <c r="L86" s="104"/>
      <c r="M86" s="115"/>
    </row>
    <row r="87" spans="1:14" ht="16.5" thickBot="1" x14ac:dyDescent="0.3">
      <c r="A87" s="160" t="s">
        <v>66</v>
      </c>
      <c r="B87" s="99" t="s">
        <v>5</v>
      </c>
      <c r="C87" s="101"/>
      <c r="D87" s="102"/>
      <c r="E87" s="123"/>
      <c r="F87" s="101"/>
      <c r="G87" s="108"/>
      <c r="H87" s="140"/>
      <c r="I87" s="140"/>
      <c r="J87" s="140"/>
      <c r="K87" s="146">
        <f t="shared" si="27"/>
        <v>0</v>
      </c>
      <c r="L87" s="104"/>
      <c r="M87" s="115"/>
    </row>
    <row r="88" spans="1:14" ht="16.5" thickBot="1" x14ac:dyDescent="0.3">
      <c r="A88" s="161"/>
      <c r="B88" s="100" t="s">
        <v>6</v>
      </c>
      <c r="C88" s="106"/>
      <c r="D88" s="102"/>
      <c r="E88" s="124"/>
      <c r="F88" s="106"/>
      <c r="G88" s="109"/>
      <c r="H88" s="140"/>
      <c r="I88" s="140"/>
      <c r="J88" s="140"/>
      <c r="K88" s="146">
        <f t="shared" si="27"/>
        <v>0</v>
      </c>
      <c r="L88" s="105"/>
      <c r="M88" s="116"/>
    </row>
    <row r="89" spans="1:14" ht="16.5" thickBot="1" x14ac:dyDescent="0.3">
      <c r="A89" s="130" t="s">
        <v>69</v>
      </c>
      <c r="B89" s="100" t="s">
        <v>15</v>
      </c>
      <c r="C89" s="131"/>
      <c r="D89" s="102"/>
      <c r="E89" s="132"/>
      <c r="F89" s="131"/>
      <c r="G89" s="133"/>
      <c r="H89" s="140"/>
      <c r="I89" s="140"/>
      <c r="J89" s="140"/>
      <c r="K89" s="146">
        <f t="shared" si="27"/>
        <v>0</v>
      </c>
      <c r="L89" s="132"/>
      <c r="M89" s="134"/>
    </row>
    <row r="90" spans="1:14" ht="16.5" thickBot="1" x14ac:dyDescent="0.3">
      <c r="A90" s="167" t="s">
        <v>73</v>
      </c>
      <c r="B90" s="100" t="s">
        <v>15</v>
      </c>
      <c r="C90" s="131"/>
      <c r="D90" s="102"/>
      <c r="E90" s="132"/>
      <c r="F90" s="131"/>
      <c r="G90" s="133"/>
      <c r="H90" s="140"/>
      <c r="I90" s="140"/>
      <c r="J90" s="140"/>
      <c r="K90" s="146">
        <f t="shared" si="27"/>
        <v>0</v>
      </c>
      <c r="L90" s="132"/>
      <c r="M90" s="134"/>
    </row>
    <row r="91" spans="1:14" ht="16.5" thickBot="1" x14ac:dyDescent="0.3">
      <c r="A91" s="168"/>
      <c r="B91" s="100" t="s">
        <v>6</v>
      </c>
      <c r="C91" s="131"/>
      <c r="D91" s="102"/>
      <c r="E91" s="132"/>
      <c r="F91" s="131"/>
      <c r="G91" s="133"/>
      <c r="H91" s="140"/>
      <c r="I91" s="140"/>
      <c r="J91" s="140"/>
      <c r="K91" s="146">
        <f t="shared" si="27"/>
        <v>0</v>
      </c>
      <c r="L91" s="132"/>
      <c r="M91" s="134"/>
    </row>
    <row r="92" spans="1:14" ht="16.5" thickBot="1" x14ac:dyDescent="0.3">
      <c r="A92" s="169" t="s">
        <v>74</v>
      </c>
      <c r="B92" s="100" t="s">
        <v>15</v>
      </c>
      <c r="C92" s="131"/>
      <c r="D92" s="102"/>
      <c r="E92" s="132"/>
      <c r="F92" s="131"/>
      <c r="G92" s="133"/>
      <c r="H92" s="140"/>
      <c r="I92" s="140"/>
      <c r="J92" s="140"/>
      <c r="K92" s="146">
        <f t="shared" si="27"/>
        <v>0</v>
      </c>
      <c r="L92" s="132"/>
      <c r="M92" s="134"/>
    </row>
    <row r="93" spans="1:14" ht="16.5" thickBot="1" x14ac:dyDescent="0.3">
      <c r="A93" s="169"/>
      <c r="B93" s="100" t="s">
        <v>6</v>
      </c>
      <c r="C93" s="131"/>
      <c r="D93" s="102"/>
      <c r="E93" s="132"/>
      <c r="F93" s="131"/>
      <c r="G93" s="133"/>
      <c r="H93" s="140"/>
      <c r="I93" s="140"/>
      <c r="J93" s="140"/>
      <c r="K93" s="146">
        <f t="shared" si="27"/>
        <v>0</v>
      </c>
      <c r="L93" s="132"/>
      <c r="M93" s="134"/>
    </row>
    <row r="94" spans="1:14" ht="16.5" thickBot="1" x14ac:dyDescent="0.3">
      <c r="A94" s="149" t="s">
        <v>19</v>
      </c>
      <c r="B94" s="96" t="s">
        <v>35</v>
      </c>
      <c r="C94" s="97">
        <f t="shared" ref="C94:H94" si="28">SUM(C7+C9+C11+C27+C13+C15+C17+C19+C23+C25+C29+C12+C21+C31+C33+C35+C37+C39+C41+C43+C45+C47+C49+C51+C53+C55+C57+C59+C61+C63+C65+C67+C69+C71+C73+C75+C77+C79+C81+C83+C85+C87+C95+C90+C92)</f>
        <v>36</v>
      </c>
      <c r="D94" s="97">
        <f t="shared" si="28"/>
        <v>279</v>
      </c>
      <c r="E94" s="97">
        <f t="shared" si="28"/>
        <v>1137</v>
      </c>
      <c r="F94" s="97">
        <f t="shared" si="28"/>
        <v>296</v>
      </c>
      <c r="G94" s="97">
        <f t="shared" si="28"/>
        <v>362</v>
      </c>
      <c r="H94" s="97">
        <f t="shared" si="28"/>
        <v>176</v>
      </c>
      <c r="I94" s="97">
        <f>SUM(I7+I9+I11+I27+I13+I15+I17+I19+I23+I25+I29+I12+I21+I31+I33+I35+I37+I39+I41+I43+I45+I47+I49+I51+I53+I55+I57+I59+I61+I63+I65+I67+I69+I71+I73+I75+I77+I79+I81+I83+I85+I87+I95+I90+I92)</f>
        <v>308</v>
      </c>
      <c r="J94" s="97">
        <f>SUM(J7+J9+J11+J27+J13+J15+J17+J19+J23+J25+J29+J12+J21+J31+J33+J35+J37+J39+J41+J43+J45+J47+J49+J51+J53+J55+J57+J59+J61+J63+J65+J67+J69+J71+J73+J75+J77+J79+J81+J83+J85+J87+J95+J90+J92)</f>
        <v>165</v>
      </c>
      <c r="K94" s="147">
        <f>K7+K9+K11+K12+K13+K15+K17+K19+K21+K23+K25+K27+K29+K31+K33+K35+K37+K39+K41+K43+K45+K47+K49+K51+K53+K55+K57+K59+K61+K63+K65+K67+K69+K77+K79+K81+K83+K85+K87+G95+K71+K73+L94+K89+K90+K92</f>
        <v>2764</v>
      </c>
      <c r="L94" s="97">
        <f>SUM(L7+L9+L11+L27+L13+L15+L17+L19+L23+L25+L29+L12+L21+L31+L33+L35+L37+L39+L41+L43+L45+L47+L49+L51+L53+L55+L57+L59+L61+L63+L65+L67+L69+L71+L73+L75+L77+L79+L81+L83+L85+L87)</f>
        <v>0</v>
      </c>
      <c r="M94" s="97">
        <f>SUM(M7+M9+M11+M27+M13+M15+M17+M19+M23+M25+M29+M12+M21+M31+M33+M35+M37+M39+M41+M43+M45+M47+M49+M51+M53+M55+M57+M59+M61+M63+M65+M67+M69+M71+M73+M75+M77+M79+M81+M83+M85+M87)</f>
        <v>0</v>
      </c>
      <c r="N94" s="67"/>
    </row>
    <row r="95" spans="1:14" ht="15.75" thickBot="1" x14ac:dyDescent="0.3">
      <c r="A95" s="92" t="s">
        <v>22</v>
      </c>
      <c r="E95" s="71">
        <v>-1</v>
      </c>
      <c r="F95" s="71">
        <v>-1</v>
      </c>
      <c r="I95" s="141">
        <v>-3</v>
      </c>
    </row>
    <row r="96" spans="1:14" ht="15.75" thickBot="1" x14ac:dyDescent="0.3">
      <c r="F96" s="90" t="s">
        <v>24</v>
      </c>
    </row>
    <row r="97" spans="6:11" ht="15.75" x14ac:dyDescent="0.25">
      <c r="F97" s="135">
        <f>K94+F99+P27+P29</f>
        <v>2759</v>
      </c>
      <c r="K97" s="2"/>
    </row>
    <row r="98" spans="6:11" x14ac:dyDescent="0.25">
      <c r="F98" s="94" t="s">
        <v>22</v>
      </c>
    </row>
    <row r="99" spans="6:11" x14ac:dyDescent="0.25">
      <c r="F99" s="95">
        <f>SUM(C95:J95)</f>
        <v>-5</v>
      </c>
    </row>
  </sheetData>
  <autoFilter ref="B1:B99"/>
  <mergeCells count="57">
    <mergeCell ref="A90:A91"/>
    <mergeCell ref="A92:A93"/>
    <mergeCell ref="Q26:R26"/>
    <mergeCell ref="A1:A6"/>
    <mergeCell ref="A29:A30"/>
    <mergeCell ref="R4:R5"/>
    <mergeCell ref="A7:A8"/>
    <mergeCell ref="R7:S8"/>
    <mergeCell ref="A9:A10"/>
    <mergeCell ref="R9:S10"/>
    <mergeCell ref="A13:A14"/>
    <mergeCell ref="A15:A16"/>
    <mergeCell ref="A19:A20"/>
    <mergeCell ref="A23:A24"/>
    <mergeCell ref="A25:A26"/>
    <mergeCell ref="A27:A28"/>
    <mergeCell ref="A17:A18"/>
    <mergeCell ref="A21:A22"/>
    <mergeCell ref="A31:A32"/>
    <mergeCell ref="A33:A34"/>
    <mergeCell ref="A35:A36"/>
    <mergeCell ref="A61:A62"/>
    <mergeCell ref="A63:A64"/>
    <mergeCell ref="A65:A66"/>
    <mergeCell ref="A67:A68"/>
    <mergeCell ref="A69:A70"/>
    <mergeCell ref="A85:A86"/>
    <mergeCell ref="A87:A88"/>
    <mergeCell ref="A71:A72"/>
    <mergeCell ref="A73:A74"/>
    <mergeCell ref="A75:A76"/>
    <mergeCell ref="A77:A78"/>
    <mergeCell ref="A79:A80"/>
    <mergeCell ref="A81:A82"/>
    <mergeCell ref="A83:A84"/>
    <mergeCell ref="A53:A54"/>
    <mergeCell ref="A55:A56"/>
    <mergeCell ref="A57:A58"/>
    <mergeCell ref="A59:A60"/>
    <mergeCell ref="Q30:R30"/>
    <mergeCell ref="O29:O30"/>
    <mergeCell ref="A37:A38"/>
    <mergeCell ref="A39:A40"/>
    <mergeCell ref="A51:A52"/>
    <mergeCell ref="A41:A42"/>
    <mergeCell ref="A43:A44"/>
    <mergeCell ref="A45:A46"/>
    <mergeCell ref="A47:A48"/>
    <mergeCell ref="A49:A50"/>
    <mergeCell ref="Q27:R27"/>
    <mergeCell ref="O33:O34"/>
    <mergeCell ref="P33:P34"/>
    <mergeCell ref="O35:O36"/>
    <mergeCell ref="P35:P36"/>
    <mergeCell ref="P27:P28"/>
    <mergeCell ref="P29:P30"/>
    <mergeCell ref="O27:O28"/>
  </mergeCells>
  <pageMargins left="0.7" right="0.7" top="0.75" bottom="0.75" header="0.3" footer="0.3"/>
  <pageSetup scale="61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impiarEntradas">
                <anchor moveWithCells="1">
                  <from>
                    <xdr:col>13</xdr:col>
                    <xdr:colOff>390525</xdr:colOff>
                    <xdr:row>4</xdr:row>
                    <xdr:rowOff>200025</xdr:rowOff>
                  </from>
                  <to>
                    <xdr:col>15</xdr:col>
                    <xdr:colOff>180975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IMPIAR_MONTOS">
                <anchor moveWithCells="1" sizeWithCells="1">
                  <from>
                    <xdr:col>13</xdr:col>
                    <xdr:colOff>428625</xdr:colOff>
                    <xdr:row>2</xdr:row>
                    <xdr:rowOff>200025</xdr:rowOff>
                  </from>
                  <to>
                    <xdr:col>15</xdr:col>
                    <xdr:colOff>619125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Hoja2</vt:lpstr>
      <vt:lpstr>Hoja2!Área_de_impresión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</dc:creator>
  <cp:lastModifiedBy>Personal</cp:lastModifiedBy>
  <cp:lastPrinted>2025-01-14T13:31:17Z</cp:lastPrinted>
  <dcterms:created xsi:type="dcterms:W3CDTF">2024-01-11T13:40:31Z</dcterms:created>
  <dcterms:modified xsi:type="dcterms:W3CDTF">2025-11-04T15:49:59Z</dcterms:modified>
</cp:coreProperties>
</file>